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yishan/Documents/Cornell/课程学习资料_Cornell/2019fall/ORIE 4741/project/"/>
    </mc:Choice>
  </mc:AlternateContent>
  <xr:revisionPtr revIDLastSave="0" documentId="13_ncr:40009_{00624B3F-696B-AC42-A474-DAA2BBB3610B}" xr6:coauthVersionLast="45" xr6:coauthVersionMax="45" xr10:uidLastSave="{00000000-0000-0000-0000-000000000000}"/>
  <bookViews>
    <workbookView xWindow="420" yWindow="7600" windowWidth="27840" windowHeight="16540" activeTab="2"/>
  </bookViews>
  <sheets>
    <sheet name="MSE_sum_compare" sheetId="1" r:id="rId1"/>
    <sheet name="Sheet3" sheetId="3" r:id="rId2"/>
    <sheet name="Sheet4" sheetId="4" r:id="rId3"/>
    <sheet name="sheet2" sheetId="2" r:id="rId4"/>
  </sheets>
  <definedNames>
    <definedName name="_xlnm._FilterDatabase" localSheetId="0" hidden="1">MSE_sum_compare!$I$1:$I$55</definedName>
    <definedName name="_xlchart.v1.0" hidden="1">MSE_sum_compare!$C$2:$C$55</definedName>
    <definedName name="_xlchart.v1.1" hidden="1">MSE_sum_compare!$D$1</definedName>
    <definedName name="_xlchart.v1.10" hidden="1">MSE_sum_compare!$C$2:$C$55</definedName>
    <definedName name="_xlchart.v1.100" hidden="1">Sheet4!$E$1</definedName>
    <definedName name="_xlchart.v1.101" hidden="1">Sheet4!$E$2:$E$11</definedName>
    <definedName name="_xlchart.v1.102" hidden="1">Sheet4!$F$1</definedName>
    <definedName name="_xlchart.v1.103" hidden="1">Sheet4!$F$2:$F$11</definedName>
    <definedName name="_xlchart.v1.11" hidden="1">MSE_sum_compare!$D$1</definedName>
    <definedName name="_xlchart.v1.12" hidden="1">MSE_sum_compare!$D$2:$D$55</definedName>
    <definedName name="_xlchart.v1.13" hidden="1">MSE_sum_compare!$E$1</definedName>
    <definedName name="_xlchart.v1.14" hidden="1">MSE_sum_compare!$E$2:$E$55</definedName>
    <definedName name="_xlchart.v1.15" hidden="1">MSE_sum_compare!$F$1</definedName>
    <definedName name="_xlchart.v1.16" hidden="1">MSE_sum_compare!$F$2:$F$55</definedName>
    <definedName name="_xlchart.v1.17" hidden="1">MSE_sum_compare!$G$1</definedName>
    <definedName name="_xlchart.v1.18" hidden="1">MSE_sum_compare!$G$2:$G$55</definedName>
    <definedName name="_xlchart.v1.19" hidden="1">MSE_sum_compare!$H$1</definedName>
    <definedName name="_xlchart.v1.2" hidden="1">MSE_sum_compare!$D$2:$D$55</definedName>
    <definedName name="_xlchart.v1.20" hidden="1">MSE_sum_compare!$H$2:$H$55</definedName>
    <definedName name="_xlchart.v1.21" hidden="1">MSE_sum_compare!$D$1</definedName>
    <definedName name="_xlchart.v1.22" hidden="1">MSE_sum_compare!$D$2:$D$55</definedName>
    <definedName name="_xlchart.v1.23" hidden="1">MSE_sum_compare!$D$1</definedName>
    <definedName name="_xlchart.v1.24" hidden="1">MSE_sum_compare!$D$2:$D$55</definedName>
    <definedName name="_xlchart.v1.25" hidden="1">MSE_sum_compare!$D$1</definedName>
    <definedName name="_xlchart.v1.26" hidden="1">MSE_sum_compare!$D$2:$D$55</definedName>
    <definedName name="_xlchart.v1.27" hidden="1">Sheet4!$A$2:$A$11</definedName>
    <definedName name="_xlchart.v1.28" hidden="1">Sheet4!$B$1</definedName>
    <definedName name="_xlchart.v1.29" hidden="1">Sheet4!$B$2:$B$11</definedName>
    <definedName name="_xlchart.v1.3" hidden="1">MSE_sum_compare!$D$1</definedName>
    <definedName name="_xlchart.v1.30" hidden="1">Sheet4!$C$1</definedName>
    <definedName name="_xlchart.v1.31" hidden="1">Sheet4!$C$2:$C$11</definedName>
    <definedName name="_xlchart.v1.32" hidden="1">Sheet4!$D$1</definedName>
    <definedName name="_xlchart.v1.33" hidden="1">Sheet4!$D$2:$D$11</definedName>
    <definedName name="_xlchart.v1.34" hidden="1">Sheet4!$E$1</definedName>
    <definedName name="_xlchart.v1.35" hidden="1">Sheet4!$E$2:$E$11</definedName>
    <definedName name="_xlchart.v1.36" hidden="1">Sheet4!$F$1</definedName>
    <definedName name="_xlchart.v1.37" hidden="1">Sheet4!$F$2:$F$11</definedName>
    <definedName name="_xlchart.v1.38" hidden="1">Sheet4!$A$2:$A$11</definedName>
    <definedName name="_xlchart.v1.39" hidden="1">Sheet4!$B$1</definedName>
    <definedName name="_xlchart.v1.4" hidden="1">MSE_sum_compare!$D$2:$D$55</definedName>
    <definedName name="_xlchart.v1.40" hidden="1">Sheet4!$B$2:$B$11</definedName>
    <definedName name="_xlchart.v1.41" hidden="1">Sheet4!$C$1</definedName>
    <definedName name="_xlchart.v1.42" hidden="1">Sheet4!$C$2:$C$11</definedName>
    <definedName name="_xlchart.v1.43" hidden="1">Sheet4!$D$1</definedName>
    <definedName name="_xlchart.v1.44" hidden="1">Sheet4!$D$2:$D$11</definedName>
    <definedName name="_xlchart.v1.45" hidden="1">Sheet4!$E$1</definedName>
    <definedName name="_xlchart.v1.46" hidden="1">Sheet4!$E$2:$E$11</definedName>
    <definedName name="_xlchart.v1.47" hidden="1">Sheet4!$F$1</definedName>
    <definedName name="_xlchart.v1.48" hidden="1">Sheet4!$F$2:$F$11</definedName>
    <definedName name="_xlchart.v1.49" hidden="1">Sheet4!$A$2:$A$11</definedName>
    <definedName name="_xlchart.v1.5" hidden="1">MSE_sum_compare!$D$1</definedName>
    <definedName name="_xlchart.v1.50" hidden="1">Sheet4!$B$1</definedName>
    <definedName name="_xlchart.v1.51" hidden="1">Sheet4!$B$2:$B$11</definedName>
    <definedName name="_xlchart.v1.52" hidden="1">Sheet4!$C$1</definedName>
    <definedName name="_xlchart.v1.53" hidden="1">Sheet4!$C$2:$C$11</definedName>
    <definedName name="_xlchart.v1.54" hidden="1">Sheet4!$D$1</definedName>
    <definedName name="_xlchart.v1.55" hidden="1">Sheet4!$D$2:$D$11</definedName>
    <definedName name="_xlchart.v1.56" hidden="1">Sheet4!$E$1</definedName>
    <definedName name="_xlchart.v1.57" hidden="1">Sheet4!$E$2:$E$11</definedName>
    <definedName name="_xlchart.v1.58" hidden="1">Sheet4!$F$1</definedName>
    <definedName name="_xlchart.v1.59" hidden="1">Sheet4!$F$2:$F$11</definedName>
    <definedName name="_xlchart.v1.6" hidden="1">MSE_sum_compare!$D$2:$D$55</definedName>
    <definedName name="_xlchart.v1.60" hidden="1">Sheet4!$A$2:$A$11</definedName>
    <definedName name="_xlchart.v1.61" hidden="1">Sheet4!$B$1</definedName>
    <definedName name="_xlchart.v1.62" hidden="1">Sheet4!$B$2:$B$11</definedName>
    <definedName name="_xlchart.v1.63" hidden="1">Sheet4!$C$1</definedName>
    <definedName name="_xlchart.v1.64" hidden="1">Sheet4!$C$2:$C$11</definedName>
    <definedName name="_xlchart.v1.65" hidden="1">Sheet4!$D$1</definedName>
    <definedName name="_xlchart.v1.66" hidden="1">Sheet4!$D$2:$D$11</definedName>
    <definedName name="_xlchart.v1.67" hidden="1">Sheet4!$E$1</definedName>
    <definedName name="_xlchart.v1.68" hidden="1">Sheet4!$E$2:$E$11</definedName>
    <definedName name="_xlchart.v1.69" hidden="1">Sheet4!$F$1</definedName>
    <definedName name="_xlchart.v1.7" hidden="1">MSE_sum_compare!$C$2:$C$55</definedName>
    <definedName name="_xlchart.v1.70" hidden="1">Sheet4!$F$2:$F$11</definedName>
    <definedName name="_xlchart.v1.71" hidden="1">Sheet4!$A$2:$A$11</definedName>
    <definedName name="_xlchart.v1.72" hidden="1">Sheet4!$B$1</definedName>
    <definedName name="_xlchart.v1.73" hidden="1">Sheet4!$B$2:$B$11</definedName>
    <definedName name="_xlchart.v1.74" hidden="1">Sheet4!$C$1</definedName>
    <definedName name="_xlchart.v1.75" hidden="1">Sheet4!$C$2:$C$11</definedName>
    <definedName name="_xlchart.v1.76" hidden="1">Sheet4!$D$1</definedName>
    <definedName name="_xlchart.v1.77" hidden="1">Sheet4!$D$2:$D$11</definedName>
    <definedName name="_xlchart.v1.78" hidden="1">Sheet4!$E$1</definedName>
    <definedName name="_xlchart.v1.79" hidden="1">Sheet4!$E$2:$E$11</definedName>
    <definedName name="_xlchart.v1.8" hidden="1">MSE_sum_compare!$H$1</definedName>
    <definedName name="_xlchart.v1.80" hidden="1">Sheet4!$F$1</definedName>
    <definedName name="_xlchart.v1.81" hidden="1">Sheet4!$F$2:$F$11</definedName>
    <definedName name="_xlchart.v1.82" hidden="1">Sheet4!$A$2:$A$11</definedName>
    <definedName name="_xlchart.v1.83" hidden="1">Sheet4!$B$1</definedName>
    <definedName name="_xlchart.v1.84" hidden="1">Sheet4!$B$2:$B$11</definedName>
    <definedName name="_xlchart.v1.85" hidden="1">Sheet4!$C$1</definedName>
    <definedName name="_xlchart.v1.86" hidden="1">Sheet4!$C$2:$C$11</definedName>
    <definedName name="_xlchart.v1.87" hidden="1">Sheet4!$D$1</definedName>
    <definedName name="_xlchart.v1.88" hidden="1">Sheet4!$D$2:$D$11</definedName>
    <definedName name="_xlchart.v1.89" hidden="1">Sheet4!$E$1</definedName>
    <definedName name="_xlchart.v1.9" hidden="1">MSE_sum_compare!$H$2:$H$55</definedName>
    <definedName name="_xlchart.v1.90" hidden="1">Sheet4!$E$2:$E$11</definedName>
    <definedName name="_xlchart.v1.91" hidden="1">Sheet4!$F$1</definedName>
    <definedName name="_xlchart.v1.92" hidden="1">Sheet4!$F$2:$F$11</definedName>
    <definedName name="_xlchart.v1.93" hidden="1">Sheet4!$A$2:$A$11</definedName>
    <definedName name="_xlchart.v1.94" hidden="1">Sheet4!$B$1</definedName>
    <definedName name="_xlchart.v1.95" hidden="1">Sheet4!$B$2:$B$11</definedName>
    <definedName name="_xlchart.v1.96" hidden="1">Sheet4!$C$1</definedName>
    <definedName name="_xlchart.v1.97" hidden="1">Sheet4!$C$2:$C$11</definedName>
    <definedName name="_xlchart.v1.98" hidden="1">Sheet4!$D$1</definedName>
    <definedName name="_xlchart.v1.99" hidden="1">Sheet4!$D$2:$D$11</definedName>
  </definedNames>
  <calcPr calcId="0"/>
</workbook>
</file>

<file path=xl/calcChain.xml><?xml version="1.0" encoding="utf-8"?>
<calcChain xmlns="http://schemas.openxmlformats.org/spreadsheetml/2006/main">
  <c r="C2" i="4" l="1"/>
  <c r="D2" i="4"/>
  <c r="E2" i="4"/>
  <c r="F2" i="4"/>
  <c r="C3" i="4"/>
  <c r="D3" i="4"/>
  <c r="E3" i="4"/>
  <c r="F3" i="4"/>
  <c r="C4" i="4"/>
  <c r="D4" i="4"/>
  <c r="E4" i="4"/>
  <c r="F4" i="4"/>
  <c r="C5" i="4"/>
  <c r="D5" i="4"/>
  <c r="E5" i="4"/>
  <c r="F5" i="4"/>
  <c r="C6" i="4"/>
  <c r="D6" i="4"/>
  <c r="E6" i="4"/>
  <c r="F6" i="4"/>
  <c r="C7" i="4"/>
  <c r="D7" i="4"/>
  <c r="E7" i="4"/>
  <c r="F7" i="4"/>
  <c r="C8" i="4"/>
  <c r="D8" i="4"/>
  <c r="E8" i="4"/>
  <c r="F8" i="4"/>
  <c r="C9" i="4"/>
  <c r="D9" i="4"/>
  <c r="E9" i="4"/>
  <c r="F9" i="4"/>
  <c r="C10" i="4"/>
  <c r="D10" i="4"/>
  <c r="E10" i="4"/>
  <c r="F10" i="4"/>
  <c r="C11" i="4"/>
  <c r="D11" i="4"/>
  <c r="E11" i="4"/>
  <c r="F11" i="4"/>
  <c r="B11" i="4"/>
  <c r="B10" i="4"/>
  <c r="B9" i="4"/>
  <c r="B8" i="4"/>
  <c r="B7" i="4"/>
  <c r="B6" i="4"/>
  <c r="B5" i="4"/>
  <c r="B4" i="4"/>
  <c r="B3" i="4"/>
  <c r="B2" i="4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2" i="3"/>
  <c r="B3" i="3" l="1"/>
  <c r="C3" i="3"/>
  <c r="D3" i="3"/>
  <c r="E3" i="3"/>
  <c r="B4" i="3"/>
  <c r="C4" i="3"/>
  <c r="D4" i="3"/>
  <c r="E4" i="3"/>
  <c r="B5" i="3"/>
  <c r="C5" i="3"/>
  <c r="D5" i="3"/>
  <c r="E5" i="3"/>
  <c r="B6" i="3"/>
  <c r="C6" i="3"/>
  <c r="D6" i="3"/>
  <c r="E6" i="3"/>
  <c r="B7" i="3"/>
  <c r="C7" i="3"/>
  <c r="D7" i="3"/>
  <c r="E7" i="3"/>
  <c r="B8" i="3"/>
  <c r="C8" i="3"/>
  <c r="D8" i="3"/>
  <c r="E8" i="3"/>
  <c r="B9" i="3"/>
  <c r="C9" i="3"/>
  <c r="D9" i="3"/>
  <c r="E9" i="3"/>
  <c r="B10" i="3"/>
  <c r="C10" i="3"/>
  <c r="D10" i="3"/>
  <c r="E10" i="3"/>
  <c r="B11" i="3"/>
  <c r="C11" i="3"/>
  <c r="D11" i="3"/>
  <c r="E11" i="3"/>
  <c r="B12" i="3"/>
  <c r="C12" i="3"/>
  <c r="D12" i="3"/>
  <c r="E12" i="3"/>
  <c r="B13" i="3"/>
  <c r="C13" i="3"/>
  <c r="D13" i="3"/>
  <c r="E13" i="3"/>
  <c r="B14" i="3"/>
  <c r="C14" i="3"/>
  <c r="D14" i="3"/>
  <c r="E14" i="3"/>
  <c r="B15" i="3"/>
  <c r="C15" i="3"/>
  <c r="D15" i="3"/>
  <c r="E15" i="3"/>
  <c r="B16" i="3"/>
  <c r="C16" i="3"/>
  <c r="D16" i="3"/>
  <c r="E16" i="3"/>
  <c r="B17" i="3"/>
  <c r="C17" i="3"/>
  <c r="D17" i="3"/>
  <c r="E17" i="3"/>
  <c r="B18" i="3"/>
  <c r="C18" i="3"/>
  <c r="D18" i="3"/>
  <c r="E18" i="3"/>
  <c r="B19" i="3"/>
  <c r="C19" i="3"/>
  <c r="D19" i="3"/>
  <c r="E19" i="3"/>
  <c r="B20" i="3"/>
  <c r="C20" i="3"/>
  <c r="D20" i="3"/>
  <c r="E20" i="3"/>
  <c r="B21" i="3"/>
  <c r="C21" i="3"/>
  <c r="D21" i="3"/>
  <c r="E21" i="3"/>
  <c r="B22" i="3"/>
  <c r="C22" i="3"/>
  <c r="D22" i="3"/>
  <c r="E22" i="3"/>
  <c r="B23" i="3"/>
  <c r="C23" i="3"/>
  <c r="D23" i="3"/>
  <c r="E23" i="3"/>
  <c r="B24" i="3"/>
  <c r="C24" i="3"/>
  <c r="D24" i="3"/>
  <c r="B25" i="3"/>
  <c r="C25" i="3"/>
  <c r="D25" i="3"/>
  <c r="B26" i="3"/>
  <c r="C26" i="3"/>
  <c r="D26" i="3"/>
  <c r="E26" i="3"/>
  <c r="B27" i="3"/>
  <c r="C27" i="3"/>
  <c r="D27" i="3"/>
  <c r="E27" i="3"/>
  <c r="B28" i="3"/>
  <c r="C28" i="3"/>
  <c r="D28" i="3"/>
  <c r="E28" i="3"/>
  <c r="B29" i="3"/>
  <c r="C29" i="3"/>
  <c r="D29" i="3"/>
  <c r="E29" i="3"/>
  <c r="B30" i="3"/>
  <c r="C30" i="3"/>
  <c r="D30" i="3"/>
  <c r="E30" i="3"/>
  <c r="B31" i="3"/>
  <c r="C31" i="3"/>
  <c r="D31" i="3"/>
  <c r="E31" i="3"/>
  <c r="B32" i="3"/>
  <c r="C32" i="3"/>
  <c r="D32" i="3"/>
  <c r="E32" i="3"/>
  <c r="B33" i="3"/>
  <c r="C33" i="3"/>
  <c r="D33" i="3"/>
  <c r="E33" i="3"/>
  <c r="B34" i="3"/>
  <c r="C34" i="3"/>
  <c r="D34" i="3"/>
  <c r="E34" i="3"/>
  <c r="B35" i="3"/>
  <c r="C35" i="3"/>
  <c r="D35" i="3"/>
  <c r="E35" i="3"/>
  <c r="B36" i="3"/>
  <c r="C36" i="3"/>
  <c r="D36" i="3"/>
  <c r="E36" i="3"/>
  <c r="B37" i="3"/>
  <c r="C37" i="3"/>
  <c r="D37" i="3"/>
  <c r="E37" i="3"/>
  <c r="B38" i="3"/>
  <c r="C38" i="3"/>
  <c r="D38" i="3"/>
  <c r="E38" i="3"/>
  <c r="B39" i="3"/>
  <c r="C39" i="3"/>
  <c r="D39" i="3"/>
  <c r="E39" i="3"/>
  <c r="B40" i="3"/>
  <c r="C40" i="3"/>
  <c r="D40" i="3"/>
  <c r="E40" i="3"/>
  <c r="B41" i="3"/>
  <c r="C41" i="3"/>
  <c r="D41" i="3"/>
  <c r="E41" i="3"/>
  <c r="B42" i="3"/>
  <c r="C42" i="3"/>
  <c r="D42" i="3"/>
  <c r="B43" i="3"/>
  <c r="C43" i="3"/>
  <c r="D43" i="3"/>
  <c r="E43" i="3"/>
  <c r="B44" i="3"/>
  <c r="C44" i="3"/>
  <c r="D44" i="3"/>
  <c r="E44" i="3"/>
  <c r="B45" i="3"/>
  <c r="C45" i="3"/>
  <c r="D45" i="3"/>
  <c r="E45" i="3"/>
  <c r="B46" i="3"/>
  <c r="C46" i="3"/>
  <c r="D46" i="3"/>
  <c r="E46" i="3"/>
  <c r="B47" i="3"/>
  <c r="C47" i="3"/>
  <c r="D47" i="3"/>
  <c r="E47" i="3"/>
  <c r="B48" i="3"/>
  <c r="C48" i="3"/>
  <c r="D48" i="3"/>
  <c r="E48" i="3"/>
  <c r="B49" i="3"/>
  <c r="C49" i="3"/>
  <c r="D49" i="3"/>
  <c r="E49" i="3"/>
  <c r="B50" i="3"/>
  <c r="C50" i="3"/>
  <c r="D50" i="3"/>
  <c r="E50" i="3"/>
  <c r="B51" i="3"/>
  <c r="C51" i="3"/>
  <c r="D51" i="3"/>
  <c r="E51" i="3"/>
  <c r="B52" i="3"/>
  <c r="C52" i="3"/>
  <c r="D52" i="3"/>
  <c r="E52" i="3"/>
  <c r="B53" i="3"/>
  <c r="C53" i="3"/>
  <c r="D53" i="3"/>
  <c r="E53" i="3"/>
  <c r="B54" i="3"/>
  <c r="C54" i="3"/>
  <c r="D54" i="3"/>
  <c r="E54" i="3"/>
  <c r="B55" i="3"/>
  <c r="C55" i="3"/>
  <c r="D55" i="3"/>
  <c r="E55" i="3"/>
  <c r="C2" i="3"/>
  <c r="D2" i="3"/>
  <c r="E2" i="3"/>
  <c r="B2" i="3"/>
</calcChain>
</file>

<file path=xl/sharedStrings.xml><?xml version="1.0" encoding="utf-8"?>
<sst xmlns="http://schemas.openxmlformats.org/spreadsheetml/2006/main" count="240" uniqueCount="65">
  <si>
    <t>Unnamed: 0</t>
  </si>
  <si>
    <t>TICKER</t>
  </si>
  <si>
    <t>Random Tree</t>
  </si>
  <si>
    <t>lasso</t>
  </si>
  <si>
    <t>ridge</t>
  </si>
  <si>
    <t>huber</t>
  </si>
  <si>
    <t>XGboost</t>
  </si>
  <si>
    <t>method_1</t>
  </si>
  <si>
    <t>method_2</t>
  </si>
  <si>
    <t>PH</t>
  </si>
  <si>
    <t>FCX</t>
  </si>
  <si>
    <t>MRO</t>
  </si>
  <si>
    <t>RCL</t>
  </si>
  <si>
    <t>USB</t>
  </si>
  <si>
    <t>LNC</t>
  </si>
  <si>
    <t>SYY</t>
  </si>
  <si>
    <t>HPQ</t>
  </si>
  <si>
    <t>DLTR</t>
  </si>
  <si>
    <t>DFS</t>
  </si>
  <si>
    <t>REGN</t>
  </si>
  <si>
    <t>NFLX</t>
  </si>
  <si>
    <t>BBY</t>
  </si>
  <si>
    <t>CAH</t>
  </si>
  <si>
    <t>UPS</t>
  </si>
  <si>
    <t>DAL</t>
  </si>
  <si>
    <t>XEC</t>
  </si>
  <si>
    <t>ROST</t>
  </si>
  <si>
    <t>MDT</t>
  </si>
  <si>
    <t>IRM</t>
  </si>
  <si>
    <t>CTL</t>
  </si>
  <si>
    <t>NSC</t>
  </si>
  <si>
    <t>ROL</t>
  </si>
  <si>
    <t>NWSA</t>
  </si>
  <si>
    <t>JCI</t>
  </si>
  <si>
    <t>MAS</t>
  </si>
  <si>
    <t>DIS</t>
  </si>
  <si>
    <t>MCO</t>
  </si>
  <si>
    <t>MHK</t>
  </si>
  <si>
    <t>SJM</t>
  </si>
  <si>
    <t>UTX</t>
  </si>
  <si>
    <t>HOG</t>
  </si>
  <si>
    <t>ORLY</t>
  </si>
  <si>
    <t>MLM</t>
  </si>
  <si>
    <t>SRE</t>
  </si>
  <si>
    <t>SHW</t>
  </si>
  <si>
    <t>CMG</t>
  </si>
  <si>
    <t>WY</t>
  </si>
  <si>
    <t>HAS</t>
  </si>
  <si>
    <t>EXPD</t>
  </si>
  <si>
    <t>ED</t>
  </si>
  <si>
    <t>TSCO</t>
  </si>
  <si>
    <t>VFC</t>
  </si>
  <si>
    <t>MO</t>
  </si>
  <si>
    <t>PWR</t>
  </si>
  <si>
    <t>NVDA</t>
  </si>
  <si>
    <t>NKE</t>
  </si>
  <si>
    <t>AON</t>
  </si>
  <si>
    <t>MGM</t>
  </si>
  <si>
    <t>PHM</t>
  </si>
  <si>
    <t>GIS</t>
  </si>
  <si>
    <t>VNO</t>
  </si>
  <si>
    <t>KMB</t>
  </si>
  <si>
    <t>NWS</t>
  </si>
  <si>
    <t>Random Forest</t>
    <phoneticPr fontId="18" type="noConversion"/>
  </si>
  <si>
    <t>XGboost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</si>
</sst>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Random Tree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Sheet4!$A$2:$A$11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cat>
          <c:val>
            <c:numRef>
              <c:f>Sheet4!$B$2:$B$11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7</c:v>
                </c:pt>
                <c:pt idx="4">
                  <c:v>11</c:v>
                </c:pt>
                <c:pt idx="5">
                  <c:v>19</c:v>
                </c:pt>
                <c:pt idx="6">
                  <c:v>4</c:v>
                </c:pt>
                <c:pt idx="7">
                  <c:v>7</c:v>
                </c:pt>
                <c:pt idx="8">
                  <c:v>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81-3442-A310-CCF364BB4AFD}"/>
            </c:ext>
          </c:extLst>
        </c:ser>
        <c:ser>
          <c:idx val="1"/>
          <c:order val="1"/>
          <c:tx>
            <c:strRef>
              <c:f>Sheet4!$C$1</c:f>
              <c:strCache>
                <c:ptCount val="1"/>
                <c:pt idx="0">
                  <c:v>lasso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Sheet4!$A$2:$A$11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cat>
          <c:val>
            <c:numRef>
              <c:f>Sheet4!$C$2:$C$11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6</c:v>
                </c:pt>
                <c:pt idx="4">
                  <c:v>10</c:v>
                </c:pt>
                <c:pt idx="5">
                  <c:v>19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81-3442-A310-CCF364BB4AFD}"/>
            </c:ext>
          </c:extLst>
        </c:ser>
        <c:ser>
          <c:idx val="2"/>
          <c:order val="2"/>
          <c:tx>
            <c:strRef>
              <c:f>Sheet4!$D$1</c:f>
              <c:strCache>
                <c:ptCount val="1"/>
                <c:pt idx="0">
                  <c:v>ridge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Sheet4!$A$2:$A$11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cat>
          <c:val>
            <c:numRef>
              <c:f>Sheet4!$D$2:$D$11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8</c:v>
                </c:pt>
                <c:pt idx="4">
                  <c:v>10</c:v>
                </c:pt>
                <c:pt idx="5">
                  <c:v>18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81-3442-A310-CCF364BB4AFD}"/>
            </c:ext>
          </c:extLst>
        </c:ser>
        <c:ser>
          <c:idx val="3"/>
          <c:order val="3"/>
          <c:tx>
            <c:strRef>
              <c:f>Sheet4!$E$1</c:f>
              <c:strCache>
                <c:ptCount val="1"/>
                <c:pt idx="0">
                  <c:v>huber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Sheet4!$A$2:$A$11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cat>
          <c:val>
            <c:numRef>
              <c:f>Sheet4!$E$2:$E$11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7</c:v>
                </c:pt>
                <c:pt idx="4">
                  <c:v>9</c:v>
                </c:pt>
                <c:pt idx="5">
                  <c:v>17</c:v>
                </c:pt>
                <c:pt idx="6">
                  <c:v>6</c:v>
                </c:pt>
                <c:pt idx="7">
                  <c:v>6</c:v>
                </c:pt>
                <c:pt idx="8">
                  <c:v>3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81-3442-A310-CCF364BB4AFD}"/>
            </c:ext>
          </c:extLst>
        </c:ser>
        <c:ser>
          <c:idx val="4"/>
          <c:order val="4"/>
          <c:tx>
            <c:strRef>
              <c:f>Sheet4!$F$1</c:f>
              <c:strCache>
                <c:ptCount val="1"/>
                <c:pt idx="0">
                  <c:v>XGboost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Sheet4!$A$2:$A$11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</c:numCache>
            </c:numRef>
          </c:cat>
          <c:val>
            <c:numRef>
              <c:f>Sheet4!$F$2:$F$11</c:f>
              <c:numCache>
                <c:formatCode>General</c:formatCode>
                <c:ptCount val="10"/>
                <c:pt idx="0">
                  <c:v>0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16</c:v>
                </c:pt>
                <c:pt idx="5">
                  <c:v>6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81-3442-A310-CCF364BB4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22565136"/>
        <c:axId val="1017985216"/>
      </c:barChart>
      <c:lineChart>
        <c:grouping val="standard"/>
        <c:varyColors val="0"/>
        <c:ser>
          <c:idx val="5"/>
          <c:order val="5"/>
          <c:tx>
            <c:v>Random Tree</c:v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Sheet4!$B$2:$B$11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7</c:v>
                </c:pt>
                <c:pt idx="4">
                  <c:v>11</c:v>
                </c:pt>
                <c:pt idx="5">
                  <c:v>19</c:v>
                </c:pt>
                <c:pt idx="6">
                  <c:v>4</c:v>
                </c:pt>
                <c:pt idx="7">
                  <c:v>7</c:v>
                </c:pt>
                <c:pt idx="8">
                  <c:v>3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F81-3442-A310-CCF364BB4AFD}"/>
            </c:ext>
          </c:extLst>
        </c:ser>
        <c:ser>
          <c:idx val="6"/>
          <c:order val="6"/>
          <c:tx>
            <c:v>lasso</c:v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Sheet4!$C$2:$C$11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6</c:v>
                </c:pt>
                <c:pt idx="4">
                  <c:v>10</c:v>
                </c:pt>
                <c:pt idx="5">
                  <c:v>19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F81-3442-A310-CCF364BB4AFD}"/>
            </c:ext>
          </c:extLst>
        </c:ser>
        <c:ser>
          <c:idx val="7"/>
          <c:order val="7"/>
          <c:tx>
            <c:v>ridge</c:v>
          </c:tx>
          <c:spPr>
            <a:ln w="28575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Sheet4!$D$2:$D$11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8</c:v>
                </c:pt>
                <c:pt idx="4">
                  <c:v>10</c:v>
                </c:pt>
                <c:pt idx="5">
                  <c:v>18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F81-3442-A310-CCF364BB4AFD}"/>
            </c:ext>
          </c:extLst>
        </c:ser>
        <c:ser>
          <c:idx val="8"/>
          <c:order val="8"/>
          <c:tx>
            <c:v>huber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Sheet4!$E$2:$E$11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7</c:v>
                </c:pt>
                <c:pt idx="4">
                  <c:v>9</c:v>
                </c:pt>
                <c:pt idx="5">
                  <c:v>17</c:v>
                </c:pt>
                <c:pt idx="6">
                  <c:v>6</c:v>
                </c:pt>
                <c:pt idx="7">
                  <c:v>6</c:v>
                </c:pt>
                <c:pt idx="8">
                  <c:v>3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F81-3442-A310-CCF364BB4AFD}"/>
            </c:ext>
          </c:extLst>
        </c:ser>
        <c:ser>
          <c:idx val="9"/>
          <c:order val="9"/>
          <c:tx>
            <c:v>XGboost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Sheet4!$F$2:$F$11</c:f>
              <c:numCache>
                <c:formatCode>General</c:formatCode>
                <c:ptCount val="10"/>
                <c:pt idx="0">
                  <c:v>0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16</c:v>
                </c:pt>
                <c:pt idx="5">
                  <c:v>6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F81-3442-A310-CCF364BB4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565136"/>
        <c:axId val="1017985216"/>
      </c:lineChart>
      <c:catAx>
        <c:axId val="102256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17985216"/>
        <c:crosses val="autoZero"/>
        <c:auto val="1"/>
        <c:lblAlgn val="ctr"/>
        <c:lblOffset val="100"/>
        <c:noMultiLvlLbl val="0"/>
      </c:catAx>
      <c:valAx>
        <c:axId val="101798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256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sheet2!$B$1:$E$1</c:f>
              <c:strCache>
                <c:ptCount val="4"/>
                <c:pt idx="0">
                  <c:v>Random Forest</c:v>
                </c:pt>
                <c:pt idx="1">
                  <c:v>lasso</c:v>
                </c:pt>
                <c:pt idx="2">
                  <c:v>ridge</c:v>
                </c:pt>
                <c:pt idx="3">
                  <c:v>huber</c:v>
                </c:pt>
              </c:strCache>
            </c:strRef>
          </c:cat>
          <c:val>
            <c:numRef>
              <c:f>sheet2!$B$2:$E$2</c:f>
              <c:numCache>
                <c:formatCode>General</c:formatCode>
                <c:ptCount val="4"/>
                <c:pt idx="0">
                  <c:v>33</c:v>
                </c:pt>
                <c:pt idx="1">
                  <c:v>1</c:v>
                </c:pt>
                <c:pt idx="2">
                  <c:v>13</c:v>
                </c:pt>
                <c:pt idx="3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72-BC4D-9A1E-E0EB8AFF64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05069328"/>
        <c:axId val="1022869136"/>
      </c:barChart>
      <c:catAx>
        <c:axId val="100506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22869136"/>
        <c:crosses val="autoZero"/>
        <c:auto val="1"/>
        <c:lblAlgn val="ctr"/>
        <c:lblOffset val="100"/>
        <c:noMultiLvlLbl val="0"/>
      </c:catAx>
      <c:valAx>
        <c:axId val="102286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506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203200</xdr:colOff>
      <xdr:row>14</xdr:row>
      <xdr:rowOff>50800</xdr:rowOff>
    </xdr:from>
    <xdr:to>
      <xdr:col>16</xdr:col>
      <xdr:colOff>266700</xdr:colOff>
      <xdr:row>47</xdr:row>
      <xdr:rowOff>25400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69E82A7-6E0E-A84D-95AF-FFBF1AD19A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368300</xdr:colOff>
      <xdr:row>11</xdr:row>
      <xdr:rowOff>139700</xdr:rowOff>
    </xdr:from>
    <xdr:to>
      <xdr:col>12</xdr:col>
      <xdr:colOff>368300</xdr:colOff>
      <xdr:row>25</xdr:row>
      <xdr:rowOff>38100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AD8070C1-0D75-804F-8149-FC24B2957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5"/>
  <sheetViews>
    <sheetView workbookViewId="0">
      <selection activeCell="D1" sqref="D1:D1048576"/>
    </sheetView>
  </sheetViews>
  <sheetFormatPr baseColWidth="10" defaultRowHeight="16"/>
  <sheetData>
    <row r="1" spans="1:10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>
      <c r="A2">
        <v>0</v>
      </c>
      <c r="B2">
        <v>0</v>
      </c>
      <c r="C2" t="s">
        <v>9</v>
      </c>
      <c r="D2">
        <v>3339.2266890000001</v>
      </c>
      <c r="E2">
        <v>3572.4299219999998</v>
      </c>
      <c r="F2">
        <v>3619.305989</v>
      </c>
      <c r="G2">
        <v>3522.6239879999998</v>
      </c>
      <c r="H2">
        <v>318.8156644</v>
      </c>
      <c r="I2" t="s">
        <v>2</v>
      </c>
      <c r="J2" t="s">
        <v>6</v>
      </c>
    </row>
    <row r="3" spans="1:10">
      <c r="A3">
        <v>1</v>
      </c>
      <c r="B3">
        <v>1</v>
      </c>
      <c r="C3" t="s">
        <v>10</v>
      </c>
      <c r="D3">
        <v>129.74898469999999</v>
      </c>
      <c r="E3">
        <v>109.37616370000001</v>
      </c>
      <c r="F3">
        <v>109.2054284</v>
      </c>
      <c r="G3">
        <v>110.6135496</v>
      </c>
      <c r="H3">
        <v>55.627406839999999</v>
      </c>
      <c r="I3" t="s">
        <v>4</v>
      </c>
      <c r="J3" t="s">
        <v>6</v>
      </c>
    </row>
    <row r="4" spans="1:10">
      <c r="A4">
        <v>2</v>
      </c>
      <c r="B4">
        <v>2</v>
      </c>
      <c r="C4" t="s">
        <v>11</v>
      </c>
      <c r="D4">
        <v>147.95115769999899</v>
      </c>
      <c r="E4">
        <v>118.433357</v>
      </c>
      <c r="F4">
        <v>110.41915899999999</v>
      </c>
      <c r="G4">
        <v>126.5037287</v>
      </c>
      <c r="H4">
        <v>14.02189139</v>
      </c>
      <c r="I4" t="s">
        <v>4</v>
      </c>
      <c r="J4" t="s">
        <v>6</v>
      </c>
    </row>
    <row r="5" spans="1:10">
      <c r="A5">
        <v>3</v>
      </c>
      <c r="B5">
        <v>3</v>
      </c>
      <c r="C5" t="s">
        <v>12</v>
      </c>
      <c r="D5">
        <v>2350.0165780000002</v>
      </c>
      <c r="E5">
        <v>2562.4587280000001</v>
      </c>
      <c r="F5">
        <v>2495.0250470000001</v>
      </c>
      <c r="G5">
        <v>2464.5558620000002</v>
      </c>
      <c r="H5">
        <v>257.93483989999999</v>
      </c>
      <c r="I5" t="s">
        <v>2</v>
      </c>
      <c r="J5" t="s">
        <v>6</v>
      </c>
    </row>
    <row r="6" spans="1:10">
      <c r="A6">
        <v>4</v>
      </c>
      <c r="B6">
        <v>4</v>
      </c>
      <c r="C6" t="s">
        <v>13</v>
      </c>
      <c r="D6">
        <v>203.57911299999901</v>
      </c>
      <c r="E6">
        <v>213.51780009999999</v>
      </c>
      <c r="F6">
        <v>217.99155780000001</v>
      </c>
      <c r="G6">
        <v>213.23795479999899</v>
      </c>
      <c r="H6">
        <v>29.00976846</v>
      </c>
      <c r="I6" t="s">
        <v>2</v>
      </c>
      <c r="J6" t="s">
        <v>6</v>
      </c>
    </row>
    <row r="7" spans="1:10">
      <c r="A7">
        <v>5</v>
      </c>
      <c r="B7">
        <v>5</v>
      </c>
      <c r="C7" t="s">
        <v>14</v>
      </c>
      <c r="D7">
        <v>569.19337099999996</v>
      </c>
      <c r="E7">
        <v>592.09674540000003</v>
      </c>
      <c r="F7">
        <v>590.30484960000001</v>
      </c>
      <c r="G7">
        <v>589.9798323</v>
      </c>
      <c r="H7">
        <v>77.600378079999999</v>
      </c>
      <c r="I7" t="s">
        <v>2</v>
      </c>
      <c r="J7" t="s">
        <v>6</v>
      </c>
    </row>
    <row r="8" spans="1:10">
      <c r="A8">
        <v>6</v>
      </c>
      <c r="B8">
        <v>6</v>
      </c>
      <c r="C8" t="s">
        <v>15</v>
      </c>
      <c r="D8">
        <v>560.02159370000004</v>
      </c>
      <c r="E8">
        <v>584.42802170000004</v>
      </c>
      <c r="F8">
        <v>589.64244970000004</v>
      </c>
      <c r="G8">
        <v>592.83654630000001</v>
      </c>
      <c r="H8">
        <v>56.544967530000001</v>
      </c>
      <c r="I8" t="s">
        <v>2</v>
      </c>
      <c r="J8" t="s">
        <v>6</v>
      </c>
    </row>
    <row r="9" spans="1:10">
      <c r="A9">
        <v>7</v>
      </c>
      <c r="B9">
        <v>7</v>
      </c>
      <c r="C9" t="s">
        <v>16</v>
      </c>
      <c r="D9">
        <v>145.46315329999999</v>
      </c>
      <c r="E9">
        <v>93.517028620000005</v>
      </c>
      <c r="F9">
        <v>99.054495399999993</v>
      </c>
      <c r="G9">
        <v>77.463468719999995</v>
      </c>
      <c r="H9">
        <v>20.554084289999999</v>
      </c>
      <c r="I9" t="s">
        <v>5</v>
      </c>
      <c r="J9" t="s">
        <v>6</v>
      </c>
    </row>
    <row r="10" spans="1:10">
      <c r="A10">
        <v>8</v>
      </c>
      <c r="B10">
        <v>8</v>
      </c>
      <c r="C10" t="s">
        <v>17</v>
      </c>
      <c r="D10">
        <v>879.55770179999899</v>
      </c>
      <c r="E10">
        <v>752.50136559999999</v>
      </c>
      <c r="F10">
        <v>835.67971290000003</v>
      </c>
      <c r="G10">
        <v>749.42796239999996</v>
      </c>
      <c r="H10">
        <v>175.06098950000001</v>
      </c>
      <c r="I10" t="s">
        <v>5</v>
      </c>
      <c r="J10" t="s">
        <v>6</v>
      </c>
    </row>
    <row r="11" spans="1:10">
      <c r="A11">
        <v>9</v>
      </c>
      <c r="B11">
        <v>9</v>
      </c>
      <c r="C11" t="s">
        <v>18</v>
      </c>
      <c r="D11">
        <v>494.68960399999997</v>
      </c>
      <c r="E11">
        <v>463.31407239999902</v>
      </c>
      <c r="F11">
        <v>468.3422114</v>
      </c>
      <c r="G11">
        <v>454.66868799999997</v>
      </c>
      <c r="H11">
        <v>74.600743080000001</v>
      </c>
      <c r="I11" t="s">
        <v>5</v>
      </c>
      <c r="J11" t="s">
        <v>6</v>
      </c>
    </row>
    <row r="12" spans="1:10">
      <c r="A12">
        <v>10</v>
      </c>
      <c r="B12">
        <v>10</v>
      </c>
      <c r="C12" t="s">
        <v>19</v>
      </c>
      <c r="D12">
        <v>6772.2648900000004</v>
      </c>
      <c r="E12">
        <v>8464.7497739999999</v>
      </c>
      <c r="F12">
        <v>5985.995637</v>
      </c>
      <c r="G12">
        <v>6646.1474680000001</v>
      </c>
      <c r="H12">
        <v>1763.6589629999901</v>
      </c>
      <c r="I12" t="s">
        <v>4</v>
      </c>
      <c r="J12" t="s">
        <v>6</v>
      </c>
    </row>
    <row r="13" spans="1:10">
      <c r="A13">
        <v>11</v>
      </c>
      <c r="B13">
        <v>11</v>
      </c>
      <c r="C13" t="s">
        <v>20</v>
      </c>
      <c r="D13">
        <v>21666.17366</v>
      </c>
      <c r="E13">
        <v>15666.0843699999</v>
      </c>
      <c r="F13">
        <v>15315.2395699999</v>
      </c>
      <c r="G13">
        <v>8564.3909970000004</v>
      </c>
      <c r="H13">
        <v>2719.4049420000001</v>
      </c>
      <c r="I13" t="s">
        <v>5</v>
      </c>
      <c r="J13" t="s">
        <v>6</v>
      </c>
    </row>
    <row r="14" spans="1:10">
      <c r="A14">
        <v>12</v>
      </c>
      <c r="B14">
        <v>12</v>
      </c>
      <c r="C14" t="s">
        <v>21</v>
      </c>
      <c r="D14">
        <v>808.277871</v>
      </c>
      <c r="E14">
        <v>807.12882420000005</v>
      </c>
      <c r="F14">
        <v>788.13538749999998</v>
      </c>
      <c r="G14">
        <v>794.21206429999995</v>
      </c>
      <c r="H14">
        <v>94.023934199999999</v>
      </c>
      <c r="I14" t="s">
        <v>4</v>
      </c>
      <c r="J14" t="s">
        <v>6</v>
      </c>
    </row>
    <row r="15" spans="1:10">
      <c r="A15">
        <v>13</v>
      </c>
      <c r="B15">
        <v>13</v>
      </c>
      <c r="C15" t="s">
        <v>22</v>
      </c>
      <c r="D15">
        <v>130.74898379999999</v>
      </c>
      <c r="E15">
        <v>145.13588959999899</v>
      </c>
      <c r="F15">
        <v>183.7240481</v>
      </c>
      <c r="G15">
        <v>179.77530400000001</v>
      </c>
      <c r="H15">
        <v>137.6111075</v>
      </c>
      <c r="I15" t="s">
        <v>2</v>
      </c>
      <c r="J15" t="s">
        <v>2</v>
      </c>
    </row>
    <row r="16" spans="1:10">
      <c r="A16">
        <v>14</v>
      </c>
      <c r="B16">
        <v>14</v>
      </c>
      <c r="C16" t="s">
        <v>23</v>
      </c>
      <c r="D16">
        <v>582.64707869999995</v>
      </c>
      <c r="E16">
        <v>526.20154479999997</v>
      </c>
      <c r="F16">
        <v>600.31840479999903</v>
      </c>
      <c r="G16">
        <v>524.92469349999999</v>
      </c>
      <c r="H16">
        <v>94.527244960000004</v>
      </c>
      <c r="I16" t="s">
        <v>5</v>
      </c>
      <c r="J16" t="s">
        <v>6</v>
      </c>
    </row>
    <row r="17" spans="1:10">
      <c r="A17">
        <v>15</v>
      </c>
      <c r="B17">
        <v>15</v>
      </c>
      <c r="C17" t="s">
        <v>24</v>
      </c>
      <c r="D17">
        <v>167.12136219999999</v>
      </c>
      <c r="E17">
        <v>444.733003</v>
      </c>
      <c r="F17">
        <v>402.12911789999902</v>
      </c>
      <c r="G17">
        <v>427.14255689999999</v>
      </c>
      <c r="H17">
        <v>33.479660799999998</v>
      </c>
      <c r="I17" t="s">
        <v>2</v>
      </c>
      <c r="J17" t="s">
        <v>6</v>
      </c>
    </row>
    <row r="18" spans="1:10">
      <c r="A18">
        <v>16</v>
      </c>
      <c r="B18">
        <v>16</v>
      </c>
      <c r="C18" t="s">
        <v>25</v>
      </c>
      <c r="D18">
        <v>402.76115729999998</v>
      </c>
      <c r="E18">
        <v>606.32146329999898</v>
      </c>
      <c r="F18">
        <v>635.53443079999897</v>
      </c>
      <c r="G18">
        <v>614.71618220000005</v>
      </c>
      <c r="H18">
        <v>225.78649909999999</v>
      </c>
      <c r="I18" t="s">
        <v>2</v>
      </c>
      <c r="J18" t="s">
        <v>6</v>
      </c>
    </row>
    <row r="19" spans="1:10">
      <c r="A19">
        <v>17</v>
      </c>
      <c r="B19">
        <v>17</v>
      </c>
      <c r="C19" t="s">
        <v>26</v>
      </c>
      <c r="D19">
        <v>316.89537799999999</v>
      </c>
      <c r="E19">
        <v>231.5723662</v>
      </c>
      <c r="F19">
        <v>285.70664360000001</v>
      </c>
      <c r="G19">
        <v>238.08075529999999</v>
      </c>
      <c r="H19">
        <v>111.599727399999</v>
      </c>
      <c r="I19" t="s">
        <v>3</v>
      </c>
      <c r="J19" t="s">
        <v>6</v>
      </c>
    </row>
    <row r="20" spans="1:10">
      <c r="A20">
        <v>18</v>
      </c>
      <c r="B20">
        <v>18</v>
      </c>
      <c r="C20" t="s">
        <v>27</v>
      </c>
      <c r="D20">
        <v>720.06517159999999</v>
      </c>
      <c r="E20">
        <v>774.35117060000005</v>
      </c>
      <c r="F20">
        <v>763.57391810000001</v>
      </c>
      <c r="G20">
        <v>774.66837740000005</v>
      </c>
      <c r="H20">
        <v>136.68129450000001</v>
      </c>
      <c r="I20" t="s">
        <v>2</v>
      </c>
      <c r="J20" t="s">
        <v>6</v>
      </c>
    </row>
    <row r="21" spans="1:10">
      <c r="A21">
        <v>19</v>
      </c>
      <c r="B21">
        <v>19</v>
      </c>
      <c r="C21" t="s">
        <v>28</v>
      </c>
      <c r="D21">
        <v>18.049143480000001</v>
      </c>
      <c r="E21">
        <v>18.486469140000001</v>
      </c>
      <c r="F21">
        <v>20.484390869999999</v>
      </c>
      <c r="G21">
        <v>19.65370897</v>
      </c>
      <c r="H21">
        <v>8.829154548</v>
      </c>
      <c r="I21" t="s">
        <v>2</v>
      </c>
      <c r="J21" t="s">
        <v>6</v>
      </c>
    </row>
    <row r="22" spans="1:10">
      <c r="A22">
        <v>20</v>
      </c>
      <c r="B22">
        <v>20</v>
      </c>
      <c r="C22" t="s">
        <v>29</v>
      </c>
      <c r="D22">
        <v>105.69138959999999</v>
      </c>
      <c r="E22">
        <v>196.28300019999901</v>
      </c>
      <c r="F22">
        <v>150.4373306</v>
      </c>
      <c r="G22">
        <v>168.3915934</v>
      </c>
      <c r="H22">
        <v>9.9318170460000008</v>
      </c>
      <c r="I22" t="s">
        <v>2</v>
      </c>
      <c r="J22" t="s">
        <v>6</v>
      </c>
    </row>
    <row r="23" spans="1:10">
      <c r="A23">
        <v>21</v>
      </c>
      <c r="B23">
        <v>21</v>
      </c>
      <c r="C23" t="s">
        <v>30</v>
      </c>
      <c r="D23">
        <v>2753.8962729999998</v>
      </c>
      <c r="E23">
        <v>2840.3527859999999</v>
      </c>
      <c r="F23">
        <v>2915.2443229999999</v>
      </c>
      <c r="G23">
        <v>2830.7919739999902</v>
      </c>
      <c r="H23">
        <v>288.94490039999999</v>
      </c>
      <c r="I23" t="s">
        <v>2</v>
      </c>
      <c r="J23" t="s">
        <v>6</v>
      </c>
    </row>
    <row r="24" spans="1:10">
      <c r="A24">
        <v>22</v>
      </c>
      <c r="B24">
        <v>22</v>
      </c>
      <c r="C24" t="s">
        <v>31</v>
      </c>
      <c r="D24">
        <v>402.17269160000001</v>
      </c>
      <c r="E24">
        <v>428.4450501</v>
      </c>
      <c r="F24">
        <v>429.08906919999998</v>
      </c>
      <c r="H24">
        <v>43.046076069999998</v>
      </c>
      <c r="I24" t="s">
        <v>2</v>
      </c>
      <c r="J24" t="s">
        <v>6</v>
      </c>
    </row>
    <row r="25" spans="1:10">
      <c r="A25">
        <v>23</v>
      </c>
      <c r="B25">
        <v>23</v>
      </c>
      <c r="C25" t="s">
        <v>32</v>
      </c>
      <c r="D25">
        <v>67.279105729999998</v>
      </c>
      <c r="E25">
        <v>80.672959399999996</v>
      </c>
      <c r="F25">
        <v>68.179909769999995</v>
      </c>
      <c r="H25">
        <v>7.0579102469999997</v>
      </c>
      <c r="I25" t="s">
        <v>2</v>
      </c>
      <c r="J25" t="s">
        <v>6</v>
      </c>
    </row>
    <row r="26" spans="1:10">
      <c r="A26">
        <v>24</v>
      </c>
      <c r="B26">
        <v>24</v>
      </c>
      <c r="C26" t="s">
        <v>33</v>
      </c>
      <c r="D26">
        <v>24.773874020000001</v>
      </c>
      <c r="E26">
        <v>17.288614450000001</v>
      </c>
      <c r="F26">
        <v>11.565463810000001</v>
      </c>
      <c r="G26">
        <v>16.309220969999998</v>
      </c>
      <c r="H26">
        <v>17.67240103</v>
      </c>
      <c r="I26" t="s">
        <v>4</v>
      </c>
      <c r="J26" t="s">
        <v>4</v>
      </c>
    </row>
    <row r="27" spans="1:10">
      <c r="A27">
        <v>25</v>
      </c>
      <c r="B27">
        <v>25</v>
      </c>
      <c r="C27" t="s">
        <v>34</v>
      </c>
      <c r="D27">
        <v>194.39015499999999</v>
      </c>
      <c r="E27">
        <v>252.66512039999901</v>
      </c>
      <c r="F27">
        <v>217.63797729999999</v>
      </c>
      <c r="G27">
        <v>230.3745705</v>
      </c>
      <c r="H27">
        <v>19.633182359999999</v>
      </c>
      <c r="I27" t="s">
        <v>2</v>
      </c>
      <c r="J27" t="s">
        <v>6</v>
      </c>
    </row>
    <row r="28" spans="1:10">
      <c r="A28">
        <v>26</v>
      </c>
      <c r="B28">
        <v>26</v>
      </c>
      <c r="C28" t="s">
        <v>35</v>
      </c>
      <c r="D28">
        <v>860.18214</v>
      </c>
      <c r="E28">
        <v>1054.777028</v>
      </c>
      <c r="F28">
        <v>1050.842179</v>
      </c>
      <c r="G28">
        <v>1052.8338879999999</v>
      </c>
      <c r="H28">
        <v>279.64459649999998</v>
      </c>
      <c r="I28" t="s">
        <v>2</v>
      </c>
      <c r="J28" t="s">
        <v>6</v>
      </c>
    </row>
    <row r="29" spans="1:10">
      <c r="A29">
        <v>27</v>
      </c>
      <c r="B29">
        <v>27</v>
      </c>
      <c r="C29" t="s">
        <v>36</v>
      </c>
      <c r="D29">
        <v>3813.3328499999998</v>
      </c>
      <c r="E29">
        <v>4395.5174029999998</v>
      </c>
      <c r="F29">
        <v>4241.6092790000002</v>
      </c>
      <c r="G29">
        <v>4358.1239079999996</v>
      </c>
      <c r="H29">
        <v>391.72853709999998</v>
      </c>
      <c r="I29" t="s">
        <v>2</v>
      </c>
      <c r="J29" t="s">
        <v>6</v>
      </c>
    </row>
    <row r="30" spans="1:10">
      <c r="A30">
        <v>28</v>
      </c>
      <c r="B30">
        <v>28</v>
      </c>
      <c r="C30" t="s">
        <v>37</v>
      </c>
      <c r="D30">
        <v>5758.1983220000002</v>
      </c>
      <c r="E30">
        <v>8244.3399129999998</v>
      </c>
      <c r="F30">
        <v>7707.8427979999997</v>
      </c>
      <c r="G30">
        <v>8207.8232079999998</v>
      </c>
      <c r="H30">
        <v>674.93134689999999</v>
      </c>
      <c r="I30" t="s">
        <v>2</v>
      </c>
      <c r="J30" t="s">
        <v>6</v>
      </c>
    </row>
    <row r="31" spans="1:10">
      <c r="A31">
        <v>29</v>
      </c>
      <c r="B31">
        <v>29</v>
      </c>
      <c r="C31" t="s">
        <v>38</v>
      </c>
      <c r="D31">
        <v>763.36304410000002</v>
      </c>
      <c r="E31">
        <v>644.70554719999996</v>
      </c>
      <c r="F31">
        <v>564.91923710000003</v>
      </c>
      <c r="G31">
        <v>631.03596960000004</v>
      </c>
      <c r="H31">
        <v>179.73678090000001</v>
      </c>
      <c r="I31" t="s">
        <v>4</v>
      </c>
      <c r="J31" t="s">
        <v>6</v>
      </c>
    </row>
    <row r="32" spans="1:10">
      <c r="A32">
        <v>30</v>
      </c>
      <c r="B32">
        <v>30</v>
      </c>
      <c r="C32" t="s">
        <v>39</v>
      </c>
      <c r="D32">
        <v>635.28199089999998</v>
      </c>
      <c r="E32">
        <v>571.80333150000001</v>
      </c>
      <c r="F32">
        <v>572.55992019999997</v>
      </c>
      <c r="G32">
        <v>565.31587049999996</v>
      </c>
      <c r="H32">
        <v>117.9578398</v>
      </c>
      <c r="I32" t="s">
        <v>5</v>
      </c>
      <c r="J32" t="s">
        <v>6</v>
      </c>
    </row>
    <row r="33" spans="1:10">
      <c r="A33">
        <v>31</v>
      </c>
      <c r="B33">
        <v>31</v>
      </c>
      <c r="C33" t="s">
        <v>40</v>
      </c>
      <c r="D33">
        <v>69.853523629999998</v>
      </c>
      <c r="E33">
        <v>49.56476661</v>
      </c>
      <c r="F33">
        <v>45.821447130000003</v>
      </c>
      <c r="G33">
        <v>54.318621620000002</v>
      </c>
      <c r="H33">
        <v>26.363632859999999</v>
      </c>
      <c r="I33" t="s">
        <v>4</v>
      </c>
      <c r="J33" t="s">
        <v>6</v>
      </c>
    </row>
    <row r="34" spans="1:10">
      <c r="A34">
        <v>32</v>
      </c>
      <c r="B34">
        <v>32</v>
      </c>
      <c r="C34" t="s">
        <v>41</v>
      </c>
      <c r="D34">
        <v>8890.8095869999997</v>
      </c>
      <c r="E34">
        <v>10381.61778</v>
      </c>
      <c r="F34">
        <v>10603.0407</v>
      </c>
      <c r="G34">
        <v>10112.85504</v>
      </c>
      <c r="H34">
        <v>1893.9011419999999</v>
      </c>
      <c r="I34" t="s">
        <v>2</v>
      </c>
      <c r="J34" t="s">
        <v>6</v>
      </c>
    </row>
    <row r="35" spans="1:10">
      <c r="A35">
        <v>33</v>
      </c>
      <c r="B35">
        <v>33</v>
      </c>
      <c r="C35" t="s">
        <v>42</v>
      </c>
      <c r="D35">
        <v>6819.578383</v>
      </c>
      <c r="E35">
        <v>7854.8054609999999</v>
      </c>
      <c r="F35">
        <v>7731.9332370000002</v>
      </c>
      <c r="G35">
        <v>7864.322913</v>
      </c>
      <c r="H35">
        <v>738.21320149999997</v>
      </c>
      <c r="I35" t="s">
        <v>2</v>
      </c>
      <c r="J35" t="s">
        <v>6</v>
      </c>
    </row>
    <row r="36" spans="1:10">
      <c r="A36">
        <v>34</v>
      </c>
      <c r="B36">
        <v>34</v>
      </c>
      <c r="C36" t="s">
        <v>43</v>
      </c>
      <c r="D36">
        <v>657.59457099999997</v>
      </c>
      <c r="E36">
        <v>721.05809499999998</v>
      </c>
      <c r="F36">
        <v>676.35051550000003</v>
      </c>
      <c r="G36">
        <v>749.53000610000004</v>
      </c>
      <c r="H36">
        <v>156.40977290000001</v>
      </c>
      <c r="I36" t="s">
        <v>2</v>
      </c>
      <c r="J36" t="s">
        <v>6</v>
      </c>
    </row>
    <row r="37" spans="1:10">
      <c r="A37">
        <v>35</v>
      </c>
      <c r="B37">
        <v>35</v>
      </c>
      <c r="C37" t="s">
        <v>44</v>
      </c>
      <c r="D37">
        <v>19016.047900000001</v>
      </c>
      <c r="E37">
        <v>24211.648239999999</v>
      </c>
      <c r="F37">
        <v>23640.333780000001</v>
      </c>
      <c r="G37">
        <v>24191.572690000001</v>
      </c>
      <c r="H37">
        <v>2143.6960719999902</v>
      </c>
      <c r="I37" t="s">
        <v>2</v>
      </c>
      <c r="J37" t="s">
        <v>6</v>
      </c>
    </row>
    <row r="38" spans="1:10">
      <c r="A38">
        <v>36</v>
      </c>
      <c r="B38">
        <v>36</v>
      </c>
      <c r="C38" t="s">
        <v>45</v>
      </c>
      <c r="D38">
        <v>4274.66975</v>
      </c>
      <c r="E38">
        <v>63506.957560000003</v>
      </c>
      <c r="F38">
        <v>117116.3382</v>
      </c>
      <c r="G38">
        <v>99223.256599999993</v>
      </c>
      <c r="H38">
        <v>1944.803375</v>
      </c>
      <c r="I38" t="s">
        <v>2</v>
      </c>
      <c r="J38" t="s">
        <v>6</v>
      </c>
    </row>
    <row r="39" spans="1:10">
      <c r="A39">
        <v>37</v>
      </c>
      <c r="B39">
        <v>37</v>
      </c>
      <c r="C39" t="s">
        <v>46</v>
      </c>
      <c r="D39">
        <v>16.590208629999999</v>
      </c>
      <c r="E39">
        <v>31.19355127</v>
      </c>
      <c r="F39">
        <v>36.284440549999999</v>
      </c>
      <c r="G39">
        <v>36.240714699999998</v>
      </c>
      <c r="H39">
        <v>12.1113936</v>
      </c>
      <c r="I39" t="s">
        <v>2</v>
      </c>
      <c r="J39" t="s">
        <v>6</v>
      </c>
    </row>
    <row r="40" spans="1:10">
      <c r="A40">
        <v>38</v>
      </c>
      <c r="B40">
        <v>38</v>
      </c>
      <c r="C40" t="s">
        <v>47</v>
      </c>
      <c r="D40">
        <v>1356.776335</v>
      </c>
      <c r="E40">
        <v>1434.497705</v>
      </c>
      <c r="F40">
        <v>1378.672006</v>
      </c>
      <c r="G40">
        <v>1380.488319</v>
      </c>
      <c r="H40">
        <v>159.35705949999999</v>
      </c>
      <c r="I40" t="s">
        <v>2</v>
      </c>
      <c r="J40" t="s">
        <v>6</v>
      </c>
    </row>
    <row r="41" spans="1:10">
      <c r="A41">
        <v>39</v>
      </c>
      <c r="B41">
        <v>39</v>
      </c>
      <c r="C41" t="s">
        <v>48</v>
      </c>
      <c r="D41">
        <v>380.85892310000003</v>
      </c>
      <c r="E41">
        <v>417.05033759999998</v>
      </c>
      <c r="F41">
        <v>377.10499590000001</v>
      </c>
      <c r="G41">
        <v>367.46781569999899</v>
      </c>
      <c r="H41">
        <v>40.157812100000001</v>
      </c>
      <c r="I41" t="s">
        <v>5</v>
      </c>
      <c r="J41" t="s">
        <v>6</v>
      </c>
    </row>
    <row r="42" spans="1:10">
      <c r="A42">
        <v>40</v>
      </c>
      <c r="B42">
        <v>40</v>
      </c>
      <c r="C42" t="s">
        <v>49</v>
      </c>
      <c r="D42">
        <v>411.72234159999999</v>
      </c>
      <c r="E42">
        <v>381.076213</v>
      </c>
      <c r="F42">
        <v>371.18726880000003</v>
      </c>
      <c r="H42">
        <v>44.556859770000003</v>
      </c>
      <c r="I42" t="s">
        <v>4</v>
      </c>
      <c r="J42" t="s">
        <v>6</v>
      </c>
    </row>
    <row r="43" spans="1:10">
      <c r="A43">
        <v>41</v>
      </c>
      <c r="B43">
        <v>41</v>
      </c>
      <c r="C43" t="s">
        <v>50</v>
      </c>
      <c r="D43">
        <v>201.25583520000001</v>
      </c>
      <c r="E43">
        <v>330.18234669999998</v>
      </c>
      <c r="F43">
        <v>310.0262457</v>
      </c>
      <c r="G43">
        <v>336.26436510000002</v>
      </c>
      <c r="H43">
        <v>157.14557070000001</v>
      </c>
      <c r="I43" t="s">
        <v>2</v>
      </c>
      <c r="J43" t="s">
        <v>6</v>
      </c>
    </row>
    <row r="44" spans="1:10">
      <c r="A44">
        <v>42</v>
      </c>
      <c r="B44">
        <v>42</v>
      </c>
      <c r="C44" t="s">
        <v>51</v>
      </c>
      <c r="D44">
        <v>700.92673590000004</v>
      </c>
      <c r="E44">
        <v>1282.3933629999999</v>
      </c>
      <c r="F44">
        <v>1290.6643770000001</v>
      </c>
      <c r="G44">
        <v>1292.368234</v>
      </c>
      <c r="H44">
        <v>343.62234369999999</v>
      </c>
      <c r="I44" t="s">
        <v>2</v>
      </c>
      <c r="J44" t="s">
        <v>6</v>
      </c>
    </row>
    <row r="45" spans="1:10">
      <c r="A45">
        <v>43</v>
      </c>
      <c r="B45">
        <v>43</v>
      </c>
      <c r="C45" t="s">
        <v>52</v>
      </c>
      <c r="D45">
        <v>523.99494200000004</v>
      </c>
      <c r="E45">
        <v>488.12442989999897</v>
      </c>
      <c r="F45">
        <v>437.47522800000002</v>
      </c>
      <c r="G45">
        <v>486.55518319999902</v>
      </c>
      <c r="H45">
        <v>61.73952044</v>
      </c>
      <c r="I45" t="s">
        <v>4</v>
      </c>
      <c r="J45" t="s">
        <v>6</v>
      </c>
    </row>
    <row r="46" spans="1:10">
      <c r="A46">
        <v>44</v>
      </c>
      <c r="B46">
        <v>44</v>
      </c>
      <c r="C46" t="s">
        <v>53</v>
      </c>
      <c r="D46">
        <v>48.640931969999997</v>
      </c>
      <c r="E46">
        <v>60.087517769999998</v>
      </c>
      <c r="F46">
        <v>60.489330850000002</v>
      </c>
      <c r="G46">
        <v>60.184817279999997</v>
      </c>
      <c r="H46">
        <v>9.4426447629999899</v>
      </c>
      <c r="I46" t="s">
        <v>2</v>
      </c>
      <c r="J46" t="s">
        <v>6</v>
      </c>
    </row>
    <row r="47" spans="1:10">
      <c r="A47">
        <v>45</v>
      </c>
      <c r="B47">
        <v>45</v>
      </c>
      <c r="C47" t="s">
        <v>54</v>
      </c>
      <c r="D47">
        <v>25251.861400000002</v>
      </c>
      <c r="E47">
        <v>24551.56208</v>
      </c>
      <c r="F47">
        <v>24400.63697</v>
      </c>
      <c r="G47">
        <v>24553.234209999999</v>
      </c>
      <c r="H47">
        <v>317.79299379999998</v>
      </c>
      <c r="I47" t="s">
        <v>4</v>
      </c>
      <c r="J47" t="s">
        <v>6</v>
      </c>
    </row>
    <row r="48" spans="1:10">
      <c r="A48">
        <v>46</v>
      </c>
      <c r="B48">
        <v>46</v>
      </c>
      <c r="C48" t="s">
        <v>55</v>
      </c>
      <c r="D48">
        <v>266.95953609999998</v>
      </c>
      <c r="E48">
        <v>411.800458899999</v>
      </c>
      <c r="F48">
        <v>355.8530465</v>
      </c>
      <c r="G48">
        <v>432.84136380000001</v>
      </c>
      <c r="H48">
        <v>153.5459946</v>
      </c>
      <c r="I48" t="s">
        <v>2</v>
      </c>
      <c r="J48" t="s">
        <v>6</v>
      </c>
    </row>
    <row r="49" spans="1:10">
      <c r="A49">
        <v>47</v>
      </c>
      <c r="B49">
        <v>47</v>
      </c>
      <c r="C49" t="s">
        <v>56</v>
      </c>
      <c r="D49">
        <v>3004.1132670000002</v>
      </c>
      <c r="E49">
        <v>2982.5400279999999</v>
      </c>
      <c r="F49">
        <v>2923.0132119999998</v>
      </c>
      <c r="G49">
        <v>2963.9164169999999</v>
      </c>
      <c r="H49">
        <v>297.78427599999998</v>
      </c>
      <c r="I49" t="s">
        <v>4</v>
      </c>
      <c r="J49" t="s">
        <v>6</v>
      </c>
    </row>
    <row r="50" spans="1:10">
      <c r="A50">
        <v>48</v>
      </c>
      <c r="B50">
        <v>48</v>
      </c>
      <c r="C50" t="s">
        <v>57</v>
      </c>
      <c r="D50">
        <v>97.524678120000004</v>
      </c>
      <c r="E50">
        <v>142.3360275</v>
      </c>
      <c r="F50">
        <v>141.99888240000001</v>
      </c>
      <c r="G50">
        <v>144.26786390000001</v>
      </c>
      <c r="H50">
        <v>15.674494559999999</v>
      </c>
      <c r="I50" t="s">
        <v>2</v>
      </c>
      <c r="J50" t="s">
        <v>6</v>
      </c>
    </row>
    <row r="51" spans="1:10">
      <c r="A51">
        <v>49</v>
      </c>
      <c r="B51">
        <v>49</v>
      </c>
      <c r="C51" t="s">
        <v>58</v>
      </c>
      <c r="D51">
        <v>81.402056950000002</v>
      </c>
      <c r="E51">
        <v>105.831941099999</v>
      </c>
      <c r="F51">
        <v>90.980187040000004</v>
      </c>
      <c r="G51">
        <v>97.128147409999997</v>
      </c>
      <c r="H51">
        <v>13.12293332</v>
      </c>
      <c r="I51" t="s">
        <v>2</v>
      </c>
      <c r="J51" t="s">
        <v>6</v>
      </c>
    </row>
    <row r="52" spans="1:10">
      <c r="A52">
        <v>50</v>
      </c>
      <c r="B52">
        <v>50</v>
      </c>
      <c r="C52" t="s">
        <v>59</v>
      </c>
      <c r="D52">
        <v>71.62196582</v>
      </c>
      <c r="E52">
        <v>90.56492016</v>
      </c>
      <c r="F52">
        <v>97.767001680000007</v>
      </c>
      <c r="G52">
        <v>94.388991959999998</v>
      </c>
      <c r="H52">
        <v>46.290365029999997</v>
      </c>
      <c r="I52" t="s">
        <v>2</v>
      </c>
      <c r="J52" t="s">
        <v>6</v>
      </c>
    </row>
    <row r="53" spans="1:10">
      <c r="A53">
        <v>51</v>
      </c>
      <c r="B53">
        <v>51</v>
      </c>
      <c r="C53" t="s">
        <v>60</v>
      </c>
      <c r="D53">
        <v>282.28460719999998</v>
      </c>
      <c r="E53">
        <v>301.509457</v>
      </c>
      <c r="F53">
        <v>300.33913050000001</v>
      </c>
      <c r="G53">
        <v>305.847153899999</v>
      </c>
      <c r="H53">
        <v>69.422279320000001</v>
      </c>
      <c r="I53" t="s">
        <v>2</v>
      </c>
      <c r="J53" t="s">
        <v>6</v>
      </c>
    </row>
    <row r="54" spans="1:10">
      <c r="A54">
        <v>52</v>
      </c>
      <c r="B54">
        <v>52</v>
      </c>
      <c r="C54" t="s">
        <v>61</v>
      </c>
      <c r="D54">
        <v>345.00163909999998</v>
      </c>
      <c r="E54">
        <v>422.02347859999998</v>
      </c>
      <c r="F54">
        <v>318.96954899999997</v>
      </c>
      <c r="G54">
        <v>401.48961200000002</v>
      </c>
      <c r="H54">
        <v>149.86485049999999</v>
      </c>
      <c r="I54" t="s">
        <v>4</v>
      </c>
      <c r="J54" t="s">
        <v>6</v>
      </c>
    </row>
    <row r="55" spans="1:10">
      <c r="A55">
        <v>53</v>
      </c>
      <c r="B55">
        <v>53</v>
      </c>
      <c r="C55" t="s">
        <v>62</v>
      </c>
      <c r="D55">
        <v>63.547910100000003</v>
      </c>
      <c r="E55">
        <v>73.127786369999995</v>
      </c>
      <c r="F55">
        <v>61.310554750000001</v>
      </c>
      <c r="G55">
        <v>64.237411230000006</v>
      </c>
      <c r="H55">
        <v>7.8217686710000001</v>
      </c>
      <c r="I55" t="s">
        <v>4</v>
      </c>
      <c r="J55" t="s">
        <v>6</v>
      </c>
    </row>
  </sheetData>
  <autoFilter ref="I1:I55"/>
  <phoneticPr fontId="18" type="noConversion"/>
  <pageMargins left="0.75" right="0.75" top="1" bottom="1" header="0.5" footer="0.5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5"/>
  <sheetViews>
    <sheetView zoomScale="75" workbookViewId="0">
      <selection activeCell="B2" sqref="B2"/>
    </sheetView>
  </sheetViews>
  <sheetFormatPr baseColWidth="10" defaultRowHeight="16"/>
  <sheetData>
    <row r="1" spans="1:6">
      <c r="B1" t="s">
        <v>2</v>
      </c>
      <c r="C1" t="s">
        <v>3</v>
      </c>
      <c r="D1" t="s">
        <v>4</v>
      </c>
      <c r="E1" t="s">
        <v>5</v>
      </c>
      <c r="F1" t="s">
        <v>64</v>
      </c>
    </row>
    <row r="2" spans="1:6">
      <c r="A2" t="s">
        <v>9</v>
      </c>
      <c r="B2">
        <f>LOG(MSE_sum_compare!D2)</f>
        <v>3.5236459028639002</v>
      </c>
      <c r="C2">
        <f>LOG(MSE_sum_compare!E2)</f>
        <v>3.5529637182783449</v>
      </c>
      <c r="D2">
        <f>LOG(MSE_sum_compare!F2)</f>
        <v>3.558625301460395</v>
      </c>
      <c r="E2">
        <f>LOG(MSE_sum_compare!G2)</f>
        <v>3.5468662881849604</v>
      </c>
      <c r="F2">
        <f>LOG(MSE_sum_compare!H2)</f>
        <v>2.5035396514798913</v>
      </c>
    </row>
    <row r="3" spans="1:6">
      <c r="A3" t="s">
        <v>10</v>
      </c>
      <c r="B3">
        <f>LOG(MSE_sum_compare!D3)</f>
        <v>2.1131039681319583</v>
      </c>
      <c r="C3">
        <f>LOG(MSE_sum_compare!E3)</f>
        <v>2.0389226867005417</v>
      </c>
      <c r="D3">
        <f>LOG(MSE_sum_compare!F3)</f>
        <v>2.0382442268812691</v>
      </c>
      <c r="E3">
        <f>LOG(MSE_sum_compare!G3)</f>
        <v>2.0438083291032685</v>
      </c>
      <c r="F3">
        <f>LOG(MSE_sum_compare!H3)</f>
        <v>1.7452888150850312</v>
      </c>
    </row>
    <row r="4" spans="1:6">
      <c r="A4" t="s">
        <v>11</v>
      </c>
      <c r="B4">
        <f>LOG(MSE_sum_compare!D4)</f>
        <v>2.1701183678119893</v>
      </c>
      <c r="C4">
        <f>LOG(MSE_sum_compare!E4)</f>
        <v>2.0734740395552134</v>
      </c>
      <c r="D4">
        <f>LOG(MSE_sum_compare!F4)</f>
        <v>2.0430444350423898</v>
      </c>
      <c r="E4">
        <f>LOG(MSE_sum_compare!G4)</f>
        <v>2.102103326539261</v>
      </c>
      <c r="F4">
        <f>LOG(MSE_sum_compare!H4)</f>
        <v>1.1468065988544358</v>
      </c>
    </row>
    <row r="5" spans="1:6">
      <c r="A5" t="s">
        <v>12</v>
      </c>
      <c r="B5">
        <f>LOG(MSE_sum_compare!D5)</f>
        <v>3.371070925977492</v>
      </c>
      <c r="C5">
        <f>LOG(MSE_sum_compare!E5)</f>
        <v>3.4086568791969998</v>
      </c>
      <c r="D5">
        <f>LOG(MSE_sum_compare!F5)</f>
        <v>3.3970749097667388</v>
      </c>
      <c r="E5">
        <f>LOG(MSE_sum_compare!G5)</f>
        <v>3.3917386663874356</v>
      </c>
      <c r="F5">
        <f>LOG(MSE_sum_compare!H5)</f>
        <v>2.411510007335294</v>
      </c>
    </row>
    <row r="6" spans="1:6">
      <c r="A6" t="s">
        <v>13</v>
      </c>
      <c r="B6">
        <f>LOG(MSE_sum_compare!D6)</f>
        <v>2.3087332177994409</v>
      </c>
      <c r="C6">
        <f>LOG(MSE_sum_compare!E6)</f>
        <v>2.3294340862133565</v>
      </c>
      <c r="D6">
        <f>LOG(MSE_sum_compare!F6)</f>
        <v>2.338439674926307</v>
      </c>
      <c r="E6">
        <f>LOG(MSE_sum_compare!G6)</f>
        <v>2.3288645084836976</v>
      </c>
      <c r="F6">
        <f>LOG(MSE_sum_compare!H6)</f>
        <v>1.4625442625170511</v>
      </c>
    </row>
    <row r="7" spans="1:6">
      <c r="A7" t="s">
        <v>14</v>
      </c>
      <c r="B7">
        <f>LOG(MSE_sum_compare!D7)</f>
        <v>2.7552598335154004</v>
      </c>
      <c r="C7">
        <f>LOG(MSE_sum_compare!E7)</f>
        <v>2.772392673886078</v>
      </c>
      <c r="D7">
        <f>LOG(MSE_sum_compare!F7)</f>
        <v>2.771076351145755</v>
      </c>
      <c r="E7">
        <f>LOG(MSE_sum_compare!G7)</f>
        <v>2.7708371660988838</v>
      </c>
      <c r="F7">
        <f>LOG(MSE_sum_compare!H7)</f>
        <v>1.8898638372073859</v>
      </c>
    </row>
    <row r="8" spans="1:6">
      <c r="A8" t="s">
        <v>15</v>
      </c>
      <c r="B8">
        <f>LOG(MSE_sum_compare!D8)</f>
        <v>2.7482047731561101</v>
      </c>
      <c r="C8">
        <f>LOG(MSE_sum_compare!E8)</f>
        <v>2.7667310309753459</v>
      </c>
      <c r="D8">
        <f>LOG(MSE_sum_compare!F8)</f>
        <v>2.7705887418232469</v>
      </c>
      <c r="E8">
        <f>LOG(MSE_sum_compare!G8)</f>
        <v>2.7729349685326614</v>
      </c>
      <c r="F8">
        <f>LOG(MSE_sum_compare!H8)</f>
        <v>1.7523939590191067</v>
      </c>
    </row>
    <row r="9" spans="1:6">
      <c r="A9" t="s">
        <v>16</v>
      </c>
      <c r="B9">
        <f>LOG(MSE_sum_compare!D9)</f>
        <v>2.1627529978232496</v>
      </c>
      <c r="C9">
        <f>LOG(MSE_sum_compare!E9)</f>
        <v>1.970890699239769</v>
      </c>
      <c r="D9">
        <f>LOG(MSE_sum_compare!F9)</f>
        <v>1.9958741899514154</v>
      </c>
      <c r="E9">
        <f>LOG(MSE_sum_compare!G9)</f>
        <v>1.8890969402646567</v>
      </c>
      <c r="F9">
        <f>LOG(MSE_sum_compare!H9)</f>
        <v>1.3128981331884368</v>
      </c>
    </row>
    <row r="10" spans="1:6">
      <c r="A10" t="s">
        <v>17</v>
      </c>
      <c r="B10">
        <f>LOG(MSE_sum_compare!D10)</f>
        <v>2.9442643358359173</v>
      </c>
      <c r="C10">
        <f>LOG(MSE_sum_compare!E10)</f>
        <v>2.8765072924014374</v>
      </c>
      <c r="D10">
        <f>LOG(MSE_sum_compare!F10)</f>
        <v>2.9220398592899133</v>
      </c>
      <c r="E10">
        <f>LOG(MSE_sum_compare!G10)</f>
        <v>2.8747298933073697</v>
      </c>
      <c r="F10">
        <f>LOG(MSE_sum_compare!H10)</f>
        <v>2.2431893789079789</v>
      </c>
    </row>
    <row r="11" spans="1:6">
      <c r="A11" t="s">
        <v>18</v>
      </c>
      <c r="B11">
        <f>LOG(MSE_sum_compare!D11)</f>
        <v>2.6943327836755322</v>
      </c>
      <c r="C11">
        <f>LOG(MSE_sum_compare!E11)</f>
        <v>2.6658754913813367</v>
      </c>
      <c r="D11">
        <f>LOG(MSE_sum_compare!F11)</f>
        <v>2.6705633022448914</v>
      </c>
      <c r="E11">
        <f>LOG(MSE_sum_compare!G11)</f>
        <v>2.6576950463602436</v>
      </c>
      <c r="F11">
        <f>LOG(MSE_sum_compare!H11)</f>
        <v>1.8727431533967487</v>
      </c>
    </row>
    <row r="12" spans="1:6">
      <c r="A12" t="s">
        <v>19</v>
      </c>
      <c r="B12">
        <f>LOG(MSE_sum_compare!D12)</f>
        <v>3.8307339367398279</v>
      </c>
      <c r="C12">
        <f>LOG(MSE_sum_compare!E12)</f>
        <v>3.9276141244795397</v>
      </c>
      <c r="D12">
        <f>LOG(MSE_sum_compare!F12)</f>
        <v>3.7771363959609858</v>
      </c>
      <c r="E12">
        <f>LOG(MSE_sum_compare!G12)</f>
        <v>3.8225699733898977</v>
      </c>
      <c r="F12">
        <f>LOG(MSE_sum_compare!H12)</f>
        <v>3.2464146098171751</v>
      </c>
    </row>
    <row r="13" spans="1:6">
      <c r="A13" t="s">
        <v>20</v>
      </c>
      <c r="B13">
        <f>LOG(MSE_sum_compare!D13)</f>
        <v>4.3357822198073075</v>
      </c>
      <c r="C13">
        <f>LOG(MSE_sum_compare!E13)</f>
        <v>4.1949604611142055</v>
      </c>
      <c r="D13">
        <f>LOG(MSE_sum_compare!F13)</f>
        <v>4.1851237946858646</v>
      </c>
      <c r="E13">
        <f>LOG(MSE_sum_compare!G13)</f>
        <v>3.9326964862687452</v>
      </c>
      <c r="F13">
        <f>LOG(MSE_sum_compare!H13)</f>
        <v>3.4344738824612144</v>
      </c>
    </row>
    <row r="14" spans="1:6">
      <c r="A14" t="s">
        <v>21</v>
      </c>
      <c r="B14">
        <f>LOG(MSE_sum_compare!D14)</f>
        <v>2.9075606888639389</v>
      </c>
      <c r="C14">
        <f>LOG(MSE_sum_compare!E14)</f>
        <v>2.9069428571187412</v>
      </c>
      <c r="D14">
        <f>LOG(MSE_sum_compare!F14)</f>
        <v>2.8966008278875957</v>
      </c>
      <c r="E14">
        <f>LOG(MSE_sum_compare!G14)</f>
        <v>2.8999364798307643</v>
      </c>
      <c r="F14">
        <f>LOG(MSE_sum_compare!H14)</f>
        <v>1.9732384192156043</v>
      </c>
    </row>
    <row r="15" spans="1:6">
      <c r="A15" t="s">
        <v>22</v>
      </c>
      <c r="B15">
        <f>LOG(MSE_sum_compare!D15)</f>
        <v>2.1164383221529444</v>
      </c>
      <c r="C15">
        <f>LOG(MSE_sum_compare!E15)</f>
        <v>2.1617748192463027</v>
      </c>
      <c r="D15">
        <f>LOG(MSE_sum_compare!F15)</f>
        <v>2.2641660059170365</v>
      </c>
      <c r="E15">
        <f>LOG(MSE_sum_compare!G15)</f>
        <v>2.2547300318178491</v>
      </c>
      <c r="F15">
        <f>LOG(MSE_sum_compare!H15)</f>
        <v>2.1386534900860266</v>
      </c>
    </row>
    <row r="16" spans="1:6">
      <c r="A16" t="s">
        <v>23</v>
      </c>
      <c r="B16">
        <f>LOG(MSE_sum_compare!D16)</f>
        <v>2.7654055733118499</v>
      </c>
      <c r="C16">
        <f>LOG(MSE_sum_compare!E16)</f>
        <v>2.7211521187347296</v>
      </c>
      <c r="D16">
        <f>LOG(MSE_sum_compare!F16)</f>
        <v>2.7783816583326373</v>
      </c>
      <c r="E16">
        <f>LOG(MSE_sum_compare!G16)</f>
        <v>2.7200970033235605</v>
      </c>
      <c r="F16">
        <f>LOG(MSE_sum_compare!H16)</f>
        <v>1.9755570003658349</v>
      </c>
    </row>
    <row r="17" spans="1:6">
      <c r="A17" t="s">
        <v>24</v>
      </c>
      <c r="B17">
        <f>LOG(MSE_sum_compare!D17)</f>
        <v>2.2230319669048288</v>
      </c>
      <c r="C17">
        <f>LOG(MSE_sum_compare!E17)</f>
        <v>2.6480993590170852</v>
      </c>
      <c r="D17">
        <f>LOG(MSE_sum_compare!F17)</f>
        <v>2.6043655212139489</v>
      </c>
      <c r="E17">
        <f>LOG(MSE_sum_compare!G17)</f>
        <v>2.630572843040262</v>
      </c>
      <c r="F17">
        <f>LOG(MSE_sum_compare!H17)</f>
        <v>1.5247810492783755</v>
      </c>
    </row>
    <row r="18" spans="1:6">
      <c r="A18" t="s">
        <v>25</v>
      </c>
      <c r="B18">
        <f>LOG(MSE_sum_compare!D18)</f>
        <v>2.605047580094872</v>
      </c>
      <c r="C18">
        <f>LOG(MSE_sum_compare!E18)</f>
        <v>2.7827029421880689</v>
      </c>
      <c r="D18">
        <f>LOG(MSE_sum_compare!F18)</f>
        <v>2.8031390839244708</v>
      </c>
      <c r="E18">
        <f>LOG(MSE_sum_compare!G18)</f>
        <v>2.7886746459298073</v>
      </c>
      <c r="F18">
        <f>LOG(MSE_sum_compare!H18)</f>
        <v>2.3536979697339127</v>
      </c>
    </row>
    <row r="19" spans="1:6">
      <c r="A19" t="s">
        <v>26</v>
      </c>
      <c r="B19">
        <f>LOG(MSE_sum_compare!D19)</f>
        <v>2.5009159049405882</v>
      </c>
      <c r="C19">
        <f>LOG(MSE_sum_compare!E19)</f>
        <v>2.3646867332812858</v>
      </c>
      <c r="D19">
        <f>LOG(MSE_sum_compare!F19)</f>
        <v>2.4559203392461439</v>
      </c>
      <c r="E19">
        <f>LOG(MSE_sum_compare!G19)</f>
        <v>2.3767242916467906</v>
      </c>
      <c r="F19">
        <f>LOG(MSE_sum_compare!H19)</f>
        <v>2.0476631337698326</v>
      </c>
    </row>
    <row r="20" spans="1:6">
      <c r="A20" t="s">
        <v>27</v>
      </c>
      <c r="B20">
        <f>LOG(MSE_sum_compare!D20)</f>
        <v>2.8573718052998314</v>
      </c>
      <c r="C20">
        <f>LOG(MSE_sum_compare!E20)</f>
        <v>2.8889379592182345</v>
      </c>
      <c r="D20">
        <f>LOG(MSE_sum_compare!F20)</f>
        <v>2.8828510854907479</v>
      </c>
      <c r="E20">
        <f>LOG(MSE_sum_compare!G20)</f>
        <v>2.8891158280707816</v>
      </c>
      <c r="F20">
        <f>LOG(MSE_sum_compare!H20)</f>
        <v>2.1357090833221055</v>
      </c>
    </row>
    <row r="21" spans="1:6">
      <c r="A21" t="s">
        <v>28</v>
      </c>
      <c r="B21">
        <f>LOG(MSE_sum_compare!D21)</f>
        <v>1.256456597336653</v>
      </c>
      <c r="C21">
        <f>LOG(MSE_sum_compare!E21)</f>
        <v>1.2668539701399413</v>
      </c>
      <c r="D21">
        <f>LOG(MSE_sum_compare!F21)</f>
        <v>1.3114230541700023</v>
      </c>
      <c r="E21">
        <f>LOG(MSE_sum_compare!G21)</f>
        <v>1.2934445207778316</v>
      </c>
      <c r="F21">
        <f>LOG(MSE_sum_compare!H21)</f>
        <v>0.94591911889834779</v>
      </c>
    </row>
    <row r="22" spans="1:6">
      <c r="A22" t="s">
        <v>29</v>
      </c>
      <c r="B22">
        <f>LOG(MSE_sum_compare!D22)</f>
        <v>2.024039607917413</v>
      </c>
      <c r="C22">
        <f>LOG(MSE_sum_compare!E22)</f>
        <v>2.2928826875824977</v>
      </c>
      <c r="D22">
        <f>LOG(MSE_sum_compare!F22)</f>
        <v>2.1773556185819527</v>
      </c>
      <c r="E22">
        <f>LOG(MSE_sum_compare!G22)</f>
        <v>2.2263204064562503</v>
      </c>
      <c r="F22">
        <f>LOG(MSE_sum_compare!H22)</f>
        <v>0.99702871081763889</v>
      </c>
    </row>
    <row r="23" spans="1:6">
      <c r="A23" t="s">
        <v>30</v>
      </c>
      <c r="B23">
        <f>LOG(MSE_sum_compare!D23)</f>
        <v>3.4399475782912412</v>
      </c>
      <c r="C23">
        <f>LOG(MSE_sum_compare!E23)</f>
        <v>3.4533722849406252</v>
      </c>
      <c r="D23">
        <f>LOG(MSE_sum_compare!F23)</f>
        <v>3.4646749583005843</v>
      </c>
      <c r="E23">
        <f>LOG(MSE_sum_compare!G23)</f>
        <v>3.4519079556019863</v>
      </c>
      <c r="F23">
        <f>LOG(MSE_sum_compare!H23)</f>
        <v>2.460815033989515</v>
      </c>
    </row>
    <row r="24" spans="1:6">
      <c r="A24" t="s">
        <v>31</v>
      </c>
      <c r="B24">
        <f>LOG(MSE_sum_compare!D24)</f>
        <v>2.604412577722492</v>
      </c>
      <c r="C24">
        <f>LOG(MSE_sum_compare!E24)</f>
        <v>2.6318951297162916</v>
      </c>
      <c r="D24">
        <f>LOG(MSE_sum_compare!F24)</f>
        <v>2.6325474512686582</v>
      </c>
      <c r="F24">
        <f>LOG(MSE_sum_compare!H24)</f>
        <v>1.6339335688253114</v>
      </c>
    </row>
    <row r="25" spans="1:6">
      <c r="A25" t="s">
        <v>32</v>
      </c>
      <c r="B25">
        <f>LOG(MSE_sum_compare!D25)</f>
        <v>1.8278802102109697</v>
      </c>
      <c r="C25">
        <f>LOG(MSE_sum_compare!E25)</f>
        <v>1.9067279888571258</v>
      </c>
      <c r="D25">
        <f>LOG(MSE_sum_compare!F25)</f>
        <v>1.8336564221434293</v>
      </c>
      <c r="F25">
        <f>LOG(MSE_sum_compare!H25)</f>
        <v>0.84867613128656361</v>
      </c>
    </row>
    <row r="26" spans="1:6">
      <c r="A26" t="s">
        <v>33</v>
      </c>
      <c r="B26">
        <f>LOG(MSE_sum_compare!D26)</f>
        <v>1.3939939247914876</v>
      </c>
      <c r="C26">
        <f>LOG(MSE_sum_compare!E26)</f>
        <v>1.237760189292948</v>
      </c>
      <c r="D26">
        <f>LOG(MSE_sum_compare!F26)</f>
        <v>1.0631630539751744</v>
      </c>
      <c r="E26">
        <f>LOG(MSE_sum_compare!G26)</f>
        <v>1.2124332169255949</v>
      </c>
      <c r="F26">
        <f>LOG(MSE_sum_compare!H26)</f>
        <v>1.2472955581791292</v>
      </c>
    </row>
    <row r="27" spans="1:6">
      <c r="A27" t="s">
        <v>34</v>
      </c>
      <c r="B27">
        <f>LOG(MSE_sum_compare!D27)</f>
        <v>2.2886742660560824</v>
      </c>
      <c r="C27">
        <f>LOG(MSE_sum_compare!E27)</f>
        <v>2.402545293113699</v>
      </c>
      <c r="D27">
        <f>LOG(MSE_sum_compare!F27)</f>
        <v>2.3377346809743069</v>
      </c>
      <c r="E27">
        <f>LOG(MSE_sum_compare!G27)</f>
        <v>2.3624345385487628</v>
      </c>
      <c r="F27">
        <f>LOG(MSE_sum_compare!H27)</f>
        <v>1.2929907004848751</v>
      </c>
    </row>
    <row r="28" spans="1:6">
      <c r="A28" t="s">
        <v>35</v>
      </c>
      <c r="B28">
        <f>LOG(MSE_sum_compare!D28)</f>
        <v>2.9345904210360567</v>
      </c>
      <c r="C28">
        <f>LOG(MSE_sum_compare!E28)</f>
        <v>3.0231606627202989</v>
      </c>
      <c r="D28">
        <f>LOG(MSE_sum_compare!F28)</f>
        <v>3.0215374962983863</v>
      </c>
      <c r="E28">
        <f>LOG(MSE_sum_compare!G28)</f>
        <v>3.0223598553110498</v>
      </c>
      <c r="F28">
        <f>LOG(MSE_sum_compare!H28)</f>
        <v>2.4466064319857215</v>
      </c>
    </row>
    <row r="29" spans="1:6">
      <c r="A29" t="s">
        <v>36</v>
      </c>
      <c r="B29">
        <f>LOG(MSE_sum_compare!D29)</f>
        <v>3.5813047146912731</v>
      </c>
      <c r="C29">
        <f>LOG(MSE_sum_compare!E29)</f>
        <v>3.6430100038789837</v>
      </c>
      <c r="D29">
        <f>LOG(MSE_sum_compare!F29)</f>
        <v>3.627530660458353</v>
      </c>
      <c r="E29">
        <f>LOG(MSE_sum_compare!G29)</f>
        <v>3.6392995737293443</v>
      </c>
      <c r="F29">
        <f>LOG(MSE_sum_compare!H29)</f>
        <v>2.5929852106942031</v>
      </c>
    </row>
    <row r="30" spans="1:6">
      <c r="A30" t="s">
        <v>37</v>
      </c>
      <c r="B30">
        <f>LOG(MSE_sum_compare!D30)</f>
        <v>3.7602866186294182</v>
      </c>
      <c r="C30">
        <f>LOG(MSE_sum_compare!E30)</f>
        <v>3.9161558893780342</v>
      </c>
      <c r="D30">
        <f>LOG(MSE_sum_compare!F30)</f>
        <v>3.8869328486070085</v>
      </c>
      <c r="E30">
        <f>LOG(MSE_sum_compare!G30)</f>
        <v>3.9142279934040793</v>
      </c>
      <c r="F30">
        <f>LOG(MSE_sum_compare!H30)</f>
        <v>2.829259599232731</v>
      </c>
    </row>
    <row r="31" spans="1:6">
      <c r="A31" t="s">
        <v>38</v>
      </c>
      <c r="B31">
        <f>LOG(MSE_sum_compare!D31)</f>
        <v>2.882731131075567</v>
      </c>
      <c r="C31">
        <f>LOG(MSE_sum_compare!E31)</f>
        <v>2.8093614070002877</v>
      </c>
      <c r="D31">
        <f>LOG(MSE_sum_compare!F31)</f>
        <v>2.7519863639452633</v>
      </c>
      <c r="E31">
        <f>LOG(MSE_sum_compare!G31)</f>
        <v>2.8000541151135021</v>
      </c>
      <c r="F31">
        <f>LOG(MSE_sum_compare!H31)</f>
        <v>2.2546369591756625</v>
      </c>
    </row>
    <row r="32" spans="1:6">
      <c r="A32" t="s">
        <v>39</v>
      </c>
      <c r="B32">
        <f>LOG(MSE_sum_compare!D32)</f>
        <v>2.8029665440435694</v>
      </c>
      <c r="C32">
        <f>LOG(MSE_sum_compare!E32)</f>
        <v>2.7572466813609897</v>
      </c>
      <c r="D32">
        <f>LOG(MSE_sum_compare!F32)</f>
        <v>2.7578209436765055</v>
      </c>
      <c r="E32">
        <f>LOG(MSE_sum_compare!G32)</f>
        <v>2.752291177877995</v>
      </c>
      <c r="F32">
        <f>LOG(MSE_sum_compare!H32)</f>
        <v>2.0717268105775375</v>
      </c>
    </row>
    <row r="33" spans="1:6">
      <c r="A33" t="s">
        <v>40</v>
      </c>
      <c r="B33">
        <f>LOG(MSE_sum_compare!D33)</f>
        <v>1.8441883181734395</v>
      </c>
      <c r="C33">
        <f>LOG(MSE_sum_compare!E33)</f>
        <v>1.6951730655183224</v>
      </c>
      <c r="D33">
        <f>LOG(MSE_sum_compare!F33)</f>
        <v>1.6610688009304013</v>
      </c>
      <c r="E33">
        <f>LOG(MSE_sum_compare!G33)</f>
        <v>1.7349487408301925</v>
      </c>
      <c r="F33">
        <f>LOG(MSE_sum_compare!H33)</f>
        <v>1.421005255024488</v>
      </c>
    </row>
    <row r="34" spans="1:6">
      <c r="A34" t="s">
        <v>41</v>
      </c>
      <c r="B34">
        <f>LOG(MSE_sum_compare!D34)</f>
        <v>3.9489413091319827</v>
      </c>
      <c r="C34">
        <f>LOG(MSE_sum_compare!E34)</f>
        <v>4.0162650354181366</v>
      </c>
      <c r="D34">
        <f>LOG(MSE_sum_compare!F34)</f>
        <v>4.0254304284591589</v>
      </c>
      <c r="E34">
        <f>LOG(MSE_sum_compare!G34)</f>
        <v>4.0048737820078344</v>
      </c>
      <c r="F34">
        <f>LOG(MSE_sum_compare!H34)</f>
        <v>3.2773573059215337</v>
      </c>
    </row>
    <row r="35" spans="1:6">
      <c r="A35" t="s">
        <v>42</v>
      </c>
      <c r="B35">
        <f>LOG(MSE_sum_compare!D35)</f>
        <v>3.833757525448755</v>
      </c>
      <c r="C35">
        <f>LOG(MSE_sum_compare!E35)</f>
        <v>3.895135433391212</v>
      </c>
      <c r="D35">
        <f>LOG(MSE_sum_compare!F35)</f>
        <v>3.8882880953658692</v>
      </c>
      <c r="E35">
        <f>LOG(MSE_sum_compare!G35)</f>
        <v>3.8956613375370557</v>
      </c>
      <c r="F35">
        <f>LOG(MSE_sum_compare!H35)</f>
        <v>2.8681818074369043</v>
      </c>
    </row>
    <row r="36" spans="1:6">
      <c r="A36" t="s">
        <v>43</v>
      </c>
      <c r="B36">
        <f>LOG(MSE_sum_compare!D36)</f>
        <v>2.8179582190781085</v>
      </c>
      <c r="C36">
        <f>LOG(MSE_sum_compare!E36)</f>
        <v>2.8579702568435708</v>
      </c>
      <c r="D36">
        <f>LOG(MSE_sum_compare!F36)</f>
        <v>2.8301718253724095</v>
      </c>
      <c r="E36">
        <f>LOG(MSE_sum_compare!G36)</f>
        <v>2.8747890237390732</v>
      </c>
      <c r="F36">
        <f>LOG(MSE_sum_compare!H36)</f>
        <v>2.1942638854497969</v>
      </c>
    </row>
    <row r="37" spans="1:6">
      <c r="A37" t="s">
        <v>44</v>
      </c>
      <c r="B37">
        <f>LOG(MSE_sum_compare!D37)</f>
        <v>4.2791202626767646</v>
      </c>
      <c r="C37">
        <f>LOG(MSE_sum_compare!E37)</f>
        <v>4.3840243556198022</v>
      </c>
      <c r="D37">
        <f>LOG(MSE_sum_compare!F37)</f>
        <v>4.3736536040953782</v>
      </c>
      <c r="E37">
        <f>LOG(MSE_sum_compare!G37)</f>
        <v>4.38366410268958</v>
      </c>
      <c r="F37">
        <f>LOG(MSE_sum_compare!H37)</f>
        <v>3.3311632121728922</v>
      </c>
    </row>
    <row r="38" spans="1:6">
      <c r="A38" t="s">
        <v>45</v>
      </c>
      <c r="B38">
        <f>LOG(MSE_sum_compare!D38)</f>
        <v>3.6309025678845757</v>
      </c>
      <c r="C38">
        <f>LOG(MSE_sum_compare!E38)</f>
        <v>4.8028213074083661</v>
      </c>
      <c r="D38">
        <f>LOG(MSE_sum_compare!F38)</f>
        <v>5.0686174851248786</v>
      </c>
      <c r="E38">
        <f>LOG(MSE_sum_compare!G38)</f>
        <v>4.9966134768848054</v>
      </c>
      <c r="F38">
        <f>LOG(MSE_sum_compare!H38)</f>
        <v>3.2888756995079471</v>
      </c>
    </row>
    <row r="39" spans="1:6">
      <c r="A39" t="s">
        <v>46</v>
      </c>
      <c r="B39">
        <f>LOG(MSE_sum_compare!D39)</f>
        <v>1.2198518475245441</v>
      </c>
      <c r="C39">
        <f>LOG(MSE_sum_compare!E39)</f>
        <v>1.4940648203861602</v>
      </c>
      <c r="D39">
        <f>LOG(MSE_sum_compare!F39)</f>
        <v>1.559720431319422</v>
      </c>
      <c r="E39">
        <f>LOG(MSE_sum_compare!G39)</f>
        <v>1.5591967537731422</v>
      </c>
      <c r="F39">
        <f>LOG(MSE_sum_compare!H39)</f>
        <v>1.0831941182023443</v>
      </c>
    </row>
    <row r="40" spans="1:6">
      <c r="A40" t="s">
        <v>47</v>
      </c>
      <c r="B40">
        <f>LOG(MSE_sum_compare!D40)</f>
        <v>3.1325082599800438</v>
      </c>
      <c r="C40">
        <f>LOG(MSE_sum_compare!E40)</f>
        <v>3.1566998577708403</v>
      </c>
      <c r="D40">
        <f>LOG(MSE_sum_compare!F40)</f>
        <v>3.1394609573090526</v>
      </c>
      <c r="E40">
        <f>LOG(MSE_sum_compare!G40)</f>
        <v>3.1400327362086715</v>
      </c>
      <c r="F40">
        <f>LOG(MSE_sum_compare!H40)</f>
        <v>2.2023713074331241</v>
      </c>
    </row>
    <row r="41" spans="1:6">
      <c r="A41" t="s">
        <v>48</v>
      </c>
      <c r="B41">
        <f>LOG(MSE_sum_compare!D41)</f>
        <v>2.5807641350841748</v>
      </c>
      <c r="C41">
        <f>LOG(MSE_sum_compare!E41)</f>
        <v>2.6201884770901533</v>
      </c>
      <c r="D41">
        <f>LOG(MSE_sum_compare!F41)</f>
        <v>2.5764622859920165</v>
      </c>
      <c r="E41">
        <f>LOG(MSE_sum_compare!G41)</f>
        <v>2.5652193078393224</v>
      </c>
      <c r="F41">
        <f>LOG(MSE_sum_compare!H41)</f>
        <v>1.603770043310744</v>
      </c>
    </row>
    <row r="42" spans="1:6">
      <c r="A42" t="s">
        <v>49</v>
      </c>
      <c r="B42">
        <f>LOG(MSE_sum_compare!D42)</f>
        <v>2.6146044340859875</v>
      </c>
      <c r="C42">
        <f>LOG(MSE_sum_compare!E42)</f>
        <v>2.5810118407027516</v>
      </c>
      <c r="D42">
        <f>LOG(MSE_sum_compare!F42)</f>
        <v>2.5695930721138316</v>
      </c>
      <c r="E42">
        <v>0</v>
      </c>
      <c r="F42">
        <f>LOG(MSE_sum_compare!H42)</f>
        <v>1.6489145755090873</v>
      </c>
    </row>
    <row r="43" spans="1:6">
      <c r="A43" t="s">
        <v>50</v>
      </c>
      <c r="B43">
        <f>LOG(MSE_sum_compare!D43)</f>
        <v>2.3037484811314455</v>
      </c>
      <c r="C43">
        <f>LOG(MSE_sum_compare!E43)</f>
        <v>2.5187538498603734</v>
      </c>
      <c r="D43">
        <f>LOG(MSE_sum_compare!F43)</f>
        <v>2.4913984611897502</v>
      </c>
      <c r="E43">
        <f>LOG(MSE_sum_compare!G43)</f>
        <v>2.5266808463202128</v>
      </c>
      <c r="F43">
        <f>LOG(MSE_sum_compare!H43)</f>
        <v>2.1963021445158133</v>
      </c>
    </row>
    <row r="44" spans="1:6">
      <c r="A44" t="s">
        <v>51</v>
      </c>
      <c r="B44">
        <f>LOG(MSE_sum_compare!D44)</f>
        <v>2.8456726258736689</v>
      </c>
      <c r="C44">
        <f>LOG(MSE_sum_compare!E44)</f>
        <v>3.1080212616699066</v>
      </c>
      <c r="D44">
        <f>LOG(MSE_sum_compare!F44)</f>
        <v>3.1108133234695234</v>
      </c>
      <c r="E44">
        <f>LOG(MSE_sum_compare!G44)</f>
        <v>3.1113862746566099</v>
      </c>
      <c r="F44">
        <f>LOG(MSE_sum_compare!H44)</f>
        <v>2.5360813956426744</v>
      </c>
    </row>
    <row r="45" spans="1:6">
      <c r="A45" t="s">
        <v>52</v>
      </c>
      <c r="B45">
        <f>LOG(MSE_sum_compare!D45)</f>
        <v>2.719327094861415</v>
      </c>
      <c r="C45">
        <f>LOG(MSE_sum_compare!E45)</f>
        <v>2.6885305439918152</v>
      </c>
      <c r="D45">
        <f>LOG(MSE_sum_compare!F45)</f>
        <v>2.6409534661640577</v>
      </c>
      <c r="E45">
        <f>LOG(MSE_sum_compare!G45)</f>
        <v>2.6871321033919355</v>
      </c>
      <c r="F45">
        <f>LOG(MSE_sum_compare!H45)</f>
        <v>1.7905632517889238</v>
      </c>
    </row>
    <row r="46" spans="1:6">
      <c r="A46" t="s">
        <v>53</v>
      </c>
      <c r="B46">
        <f>LOG(MSE_sum_compare!D46)</f>
        <v>1.6870018875136656</v>
      </c>
      <c r="C46">
        <f>LOG(MSE_sum_compare!E46)</f>
        <v>1.7787842635729305</v>
      </c>
      <c r="D46">
        <f>LOG(MSE_sum_compare!F46)</f>
        <v>1.7816787802461513</v>
      </c>
      <c r="E46">
        <f>LOG(MSE_sum_compare!G46)</f>
        <v>1.7794869463550664</v>
      </c>
      <c r="F46">
        <f>LOG(MSE_sum_compare!H46)</f>
        <v>0.9750936516187213</v>
      </c>
    </row>
    <row r="47" spans="1:6">
      <c r="A47" t="s">
        <v>54</v>
      </c>
      <c r="B47">
        <f>LOG(MSE_sum_compare!D47)</f>
        <v>4.4022933969478721</v>
      </c>
      <c r="C47">
        <f>LOG(MSE_sum_compare!E47)</f>
        <v>4.3900791290920758</v>
      </c>
      <c r="D47">
        <f>LOG(MSE_sum_compare!F47)</f>
        <v>4.3874011635905905</v>
      </c>
      <c r="E47">
        <f>LOG(MSE_sum_compare!G47)</f>
        <v>4.3901087065218656</v>
      </c>
      <c r="F47">
        <f>LOG(MSE_sum_compare!H47)</f>
        <v>2.5021443183353638</v>
      </c>
    </row>
    <row r="48" spans="1:6">
      <c r="A48" t="s">
        <v>55</v>
      </c>
      <c r="B48">
        <f>LOG(MSE_sum_compare!D48)</f>
        <v>2.4264454389666898</v>
      </c>
      <c r="C48">
        <f>LOG(MSE_sum_compare!E48)</f>
        <v>2.6146868262490508</v>
      </c>
      <c r="D48">
        <f>LOG(MSE_sum_compare!F48)</f>
        <v>2.5512706882252614</v>
      </c>
      <c r="E48">
        <f>LOG(MSE_sum_compare!G48)</f>
        <v>2.6363287567466398</v>
      </c>
      <c r="F48">
        <f>LOG(MSE_sum_compare!H48)</f>
        <v>2.1862384919232998</v>
      </c>
    </row>
    <row r="49" spans="1:6">
      <c r="A49" t="s">
        <v>56</v>
      </c>
      <c r="B49">
        <f>LOG(MSE_sum_compare!D49)</f>
        <v>3.4777163032674561</v>
      </c>
      <c r="C49">
        <f>LOG(MSE_sum_compare!E49)</f>
        <v>3.4745862809502146</v>
      </c>
      <c r="D49">
        <f>LOG(MSE_sum_compare!F49)</f>
        <v>3.4658307783700013</v>
      </c>
      <c r="E49">
        <f>LOG(MSE_sum_compare!G49)</f>
        <v>3.4718659522939626</v>
      </c>
      <c r="F49">
        <f>LOG(MSE_sum_compare!H49)</f>
        <v>2.4739017618287726</v>
      </c>
    </row>
    <row r="50" spans="1:6">
      <c r="A50" t="s">
        <v>57</v>
      </c>
      <c r="B50">
        <f>LOG(MSE_sum_compare!D50)</f>
        <v>1.9891145255981482</v>
      </c>
      <c r="C50">
        <f>LOG(MSE_sum_compare!E50)</f>
        <v>2.1533148408016825</v>
      </c>
      <c r="D50">
        <f>LOG(MSE_sum_compare!F50)</f>
        <v>2.1522849262885284</v>
      </c>
      <c r="E50">
        <f>LOG(MSE_sum_compare!G50)</f>
        <v>2.1591696014662309</v>
      </c>
      <c r="F50">
        <f>LOG(MSE_sum_compare!H50)</f>
        <v>1.1951935454617937</v>
      </c>
    </row>
    <row r="51" spans="1:6">
      <c r="A51" t="s">
        <v>58</v>
      </c>
      <c r="B51">
        <f>LOG(MSE_sum_compare!D51)</f>
        <v>1.910635379222712</v>
      </c>
      <c r="C51">
        <f>LOG(MSE_sum_compare!E51)</f>
        <v>2.0246167617439386</v>
      </c>
      <c r="D51">
        <f>LOG(MSE_sum_compare!F51)</f>
        <v>1.9589468253314435</v>
      </c>
      <c r="E51">
        <f>LOG(MSE_sum_compare!G51)</f>
        <v>1.9873451052261959</v>
      </c>
      <c r="F51">
        <f>LOG(MSE_sum_compare!H51)</f>
        <v>1.1180309221052853</v>
      </c>
    </row>
    <row r="52" spans="1:6">
      <c r="A52" t="s">
        <v>59</v>
      </c>
      <c r="B52">
        <f>LOG(MSE_sum_compare!D52)</f>
        <v>1.8550462369923024</v>
      </c>
      <c r="C52">
        <f>LOG(MSE_sum_compare!E52)</f>
        <v>1.9569600085912551</v>
      </c>
      <c r="D52">
        <f>LOG(MSE_sum_compare!F52)</f>
        <v>1.9901922964387904</v>
      </c>
      <c r="E52">
        <f>LOG(MSE_sum_compare!G52)</f>
        <v>1.9749213480078975</v>
      </c>
      <c r="F52">
        <f>LOG(MSE_sum_compare!H52)</f>
        <v>1.6654906054941883</v>
      </c>
    </row>
    <row r="53" spans="1:6">
      <c r="A53" t="s">
        <v>60</v>
      </c>
      <c r="B53">
        <f>LOG(MSE_sum_compare!D53)</f>
        <v>2.4506871969908359</v>
      </c>
      <c r="C53">
        <f>LOG(MSE_sum_compare!E53)</f>
        <v>2.4793009385607592</v>
      </c>
      <c r="D53">
        <f>LOG(MSE_sum_compare!F53)</f>
        <v>2.4776119191224271</v>
      </c>
      <c r="E53">
        <f>LOG(MSE_sum_compare!G53)</f>
        <v>2.4855044434695039</v>
      </c>
      <c r="F53">
        <f>LOG(MSE_sum_compare!H53)</f>
        <v>1.8414988686244718</v>
      </c>
    </row>
    <row r="54" spans="1:6">
      <c r="A54" t="s">
        <v>61</v>
      </c>
      <c r="B54">
        <f>LOG(MSE_sum_compare!D54)</f>
        <v>2.5378211584077501</v>
      </c>
      <c r="C54">
        <f>LOG(MSE_sum_compare!E54)</f>
        <v>2.6253366129113922</v>
      </c>
      <c r="D54">
        <f>LOG(MSE_sum_compare!F54)</f>
        <v>2.5037492243345847</v>
      </c>
      <c r="E54">
        <f>LOG(MSE_sum_compare!G54)</f>
        <v>2.6036743129784821</v>
      </c>
      <c r="F54">
        <f>LOG(MSE_sum_compare!H54)</f>
        <v>2.1756997847901354</v>
      </c>
    </row>
    <row r="55" spans="1:6">
      <c r="A55" t="s">
        <v>62</v>
      </c>
      <c r="B55">
        <f>LOG(MSE_sum_compare!D55)</f>
        <v>1.8031012724830684</v>
      </c>
      <c r="C55">
        <f>LOG(MSE_sum_compare!E55)</f>
        <v>1.8640824272209866</v>
      </c>
      <c r="D55">
        <f>LOG(MSE_sum_compare!F55)</f>
        <v>1.7875352457271994</v>
      </c>
      <c r="E55">
        <f>LOG(MSE_sum_compare!G55)</f>
        <v>1.8077880305399265</v>
      </c>
      <c r="F55">
        <f>LOG(MSE_sum_compare!H55)</f>
        <v>0.89330496753610478</v>
      </c>
    </row>
  </sheetData>
  <phoneticPr fontId="18" type="noConversion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tabSelected="1" topLeftCell="A4" workbookViewId="0">
      <selection sqref="A1:XFD1048576"/>
    </sheetView>
  </sheetViews>
  <sheetFormatPr baseColWidth="10" defaultRowHeight="16"/>
  <sheetData>
    <row r="1" spans="1:6">
      <c r="B1" t="s">
        <v>2</v>
      </c>
      <c r="C1" t="s">
        <v>3</v>
      </c>
      <c r="D1" t="s">
        <v>4</v>
      </c>
      <c r="E1" t="s">
        <v>5</v>
      </c>
      <c r="F1" t="s">
        <v>64</v>
      </c>
    </row>
    <row r="2" spans="1:6">
      <c r="A2">
        <v>0.5</v>
      </c>
      <c r="B2">
        <f>COUNTIF(Sheet3!B:B,{"&lt;=0.5"})</f>
        <v>0</v>
      </c>
      <c r="C2">
        <f>COUNTIF(Sheet3!C:C,{"&lt;=0.5"})</f>
        <v>0</v>
      </c>
      <c r="D2">
        <f>COUNTIF(Sheet3!D:D,{"&lt;=0.5"})</f>
        <v>0</v>
      </c>
      <c r="E2">
        <f>COUNTIF(Sheet3!E:E,{"&lt;=0.5"})</f>
        <v>1</v>
      </c>
      <c r="F2">
        <f>COUNTIF(Sheet3!F:F,{"&lt;=0.5"})</f>
        <v>0</v>
      </c>
    </row>
    <row r="3" spans="1:6">
      <c r="A3">
        <v>1</v>
      </c>
      <c r="B3">
        <f>COUNTIF(Sheet3!B:B,"&lt;=1")-COUNTIF(Sheet3!B:B,"&lt;=0.5")</f>
        <v>0</v>
      </c>
      <c r="C3">
        <f>COUNTIF(Sheet3!C:C,"&lt;=1")-COUNTIF(Sheet3!C:C,"&lt;=0.5")</f>
        <v>0</v>
      </c>
      <c r="D3">
        <f>COUNTIF(Sheet3!D:D,"&lt;=1")-COUNTIF(Sheet3!D:D,"&lt;=0.5")</f>
        <v>0</v>
      </c>
      <c r="E3">
        <f>COUNTIF(Sheet3!E:E,"&lt;=1")-COUNTIF(Sheet3!E:E,"&lt;=0.5")</f>
        <v>0</v>
      </c>
      <c r="F3">
        <f>COUNTIF(Sheet3!F:F,"&lt;=1")-COUNTIF(Sheet3!F:F,"&lt;=0.5")</f>
        <v>5</v>
      </c>
    </row>
    <row r="4" spans="1:6">
      <c r="A4">
        <v>1.5</v>
      </c>
      <c r="B4">
        <f>COUNTIF(Sheet3!B:B,"&lt;=1.5")-COUNTIF(Sheet3!B:B,"&lt;=1")</f>
        <v>3</v>
      </c>
      <c r="C4">
        <f>COUNTIF(Sheet3!C:C,"&lt;=1.5")-COUNTIF(Sheet3!C:C,"&lt;=1")</f>
        <v>3</v>
      </c>
      <c r="D4">
        <f>COUNTIF(Sheet3!D:D,"&lt;=1.5")-COUNTIF(Sheet3!D:D,"&lt;=1")</f>
        <v>2</v>
      </c>
      <c r="E4">
        <f>COUNTIF(Sheet3!E:E,"&lt;=1.5")-COUNTIF(Sheet3!E:E,"&lt;=1")</f>
        <v>2</v>
      </c>
      <c r="F4">
        <f>COUNTIF(Sheet3!F:F,"&lt;=1.5")-COUNTIF(Sheet3!F:F,"&lt;=1")</f>
        <v>9</v>
      </c>
    </row>
    <row r="5" spans="1:6">
      <c r="A5">
        <v>2</v>
      </c>
      <c r="B5">
        <f>COUNTIF(Sheet3!B:B,"&lt;=2")-COUNTIF(Sheet3!B:B,"&lt;=1.5")</f>
        <v>7</v>
      </c>
      <c r="C5">
        <f>COUNTIF(Sheet3!C:C,"&lt;=2")-COUNTIF(Sheet3!C:C,"&lt;=1.5")</f>
        <v>6</v>
      </c>
      <c r="D5">
        <f>COUNTIF(Sheet3!D:D,"&lt;=2")-COUNTIF(Sheet3!D:D,"&lt;=1.5")</f>
        <v>8</v>
      </c>
      <c r="E5">
        <f>COUNTIF(Sheet3!E:E,"&lt;=2")-COUNTIF(Sheet3!E:E,"&lt;=1.5")</f>
        <v>7</v>
      </c>
      <c r="F5">
        <f>COUNTIF(Sheet3!F:F,"&lt;=2")-COUNTIF(Sheet3!F:F,"&lt;=1.5")</f>
        <v>13</v>
      </c>
    </row>
    <row r="6" spans="1:6">
      <c r="A6">
        <v>2.5</v>
      </c>
      <c r="B6">
        <f>COUNTIF(Sheet3!B:B,"&lt;=2.5")-COUNTIF(Sheet3!B:B,"&lt;=2")</f>
        <v>11</v>
      </c>
      <c r="C6">
        <f>COUNTIF(Sheet3!C:C,"&lt;=2.5")-COUNTIF(Sheet3!C:C,"&lt;=2")</f>
        <v>10</v>
      </c>
      <c r="D6">
        <f>COUNTIF(Sheet3!D:D,"&lt;=2.5")-COUNTIF(Sheet3!D:D,"&lt;=2")</f>
        <v>10</v>
      </c>
      <c r="E6">
        <f>COUNTIF(Sheet3!E:E,"&lt;=2.5")-COUNTIF(Sheet3!E:E,"&lt;=2")</f>
        <v>9</v>
      </c>
      <c r="F6">
        <f>COUNTIF(Sheet3!F:F,"&lt;=2.5")-COUNTIF(Sheet3!F:F,"&lt;=2")</f>
        <v>16</v>
      </c>
    </row>
    <row r="7" spans="1:6">
      <c r="A7">
        <v>3</v>
      </c>
      <c r="B7">
        <f>COUNTIF(Sheet3!B:B,"&lt;=3")-COUNTIF(Sheet3!B:B,"&lt;=2.5")</f>
        <v>19</v>
      </c>
      <c r="C7">
        <f>COUNTIF(Sheet3!C:C,"&lt;=3")-COUNTIF(Sheet3!C:C,"&lt;=2.5")</f>
        <v>19</v>
      </c>
      <c r="D7">
        <f>COUNTIF(Sheet3!D:D,"&lt;=3")-COUNTIF(Sheet3!D:D,"&lt;=2.5")</f>
        <v>18</v>
      </c>
      <c r="E7">
        <f>COUNTIF(Sheet3!E:E,"&lt;=3")-COUNTIF(Sheet3!E:E,"&lt;=2.5")</f>
        <v>17</v>
      </c>
      <c r="F7">
        <f>COUNTIF(Sheet3!F:F,"&lt;=3")-COUNTIF(Sheet3!F:F,"&lt;=2.5")</f>
        <v>6</v>
      </c>
    </row>
    <row r="8" spans="1:6">
      <c r="A8">
        <v>3.5</v>
      </c>
      <c r="B8">
        <f>COUNTIF(Sheet3!B:B,"&lt;=3.5")-COUNTIF(Sheet3!B:B,"&lt;=3")</f>
        <v>4</v>
      </c>
      <c r="C8">
        <f>COUNTIF(Sheet3!C:C,"&lt;=3.5")-COUNTIF(Sheet3!C:C,"&lt;=3")</f>
        <v>6</v>
      </c>
      <c r="D8">
        <f>COUNTIF(Sheet3!D:D,"&lt;=3.5")-COUNTIF(Sheet3!D:D,"&lt;=3")</f>
        <v>6</v>
      </c>
      <c r="E8">
        <f>COUNTIF(Sheet3!E:E,"&lt;=3.5")-COUNTIF(Sheet3!E:E,"&lt;=3")</f>
        <v>6</v>
      </c>
      <c r="F8">
        <f>COUNTIF(Sheet3!F:F,"&lt;=3.5")-COUNTIF(Sheet3!F:F,"&lt;=3")</f>
        <v>5</v>
      </c>
    </row>
    <row r="9" spans="1:6">
      <c r="A9">
        <v>4</v>
      </c>
      <c r="B9">
        <f>COUNTIF(Sheet3!B:B,"&lt;=4")-COUNTIF(Sheet3!B:B,"&lt;=3.5")</f>
        <v>7</v>
      </c>
      <c r="C9">
        <f>COUNTIF(Sheet3!C:C,"&lt;=4")-COUNTIF(Sheet3!C:C,"&lt;=3.5")</f>
        <v>5</v>
      </c>
      <c r="D9">
        <f>COUNTIF(Sheet3!D:D,"&lt;=4")-COUNTIF(Sheet3!D:D,"&lt;=3.5")</f>
        <v>5</v>
      </c>
      <c r="E9">
        <f>COUNTIF(Sheet3!E:E,"&lt;=4")-COUNTIF(Sheet3!E:E,"&lt;=3.5")</f>
        <v>6</v>
      </c>
      <c r="F9">
        <f>COUNTIF(Sheet3!F:F,"&lt;=4")-COUNTIF(Sheet3!F:F,"&lt;=3.5")</f>
        <v>0</v>
      </c>
    </row>
    <row r="10" spans="1:6">
      <c r="A10">
        <v>4.5</v>
      </c>
      <c r="B10">
        <f>COUNTIF(Sheet3!B:B,"&lt;=4.5")-COUNTIF(Sheet3!B:B,"&lt;=4")</f>
        <v>3</v>
      </c>
      <c r="C10">
        <f>COUNTIF(Sheet3!C:C,"&lt;=4.5")-COUNTIF(Sheet3!C:C,"&lt;=4")</f>
        <v>4</v>
      </c>
      <c r="D10">
        <f>COUNTIF(Sheet3!D:D,"&lt;=4.5")-COUNTIF(Sheet3!D:D,"&lt;=4")</f>
        <v>4</v>
      </c>
      <c r="E10">
        <f>COUNTIF(Sheet3!E:E,"&lt;=4.5")-COUNTIF(Sheet3!E:E,"&lt;=4")</f>
        <v>3</v>
      </c>
      <c r="F10">
        <f>COUNTIF(Sheet3!F:F,"&lt;=4.5")-COUNTIF(Sheet3!F:F,"&lt;=4")</f>
        <v>0</v>
      </c>
    </row>
    <row r="11" spans="1:6">
      <c r="A11">
        <v>5</v>
      </c>
      <c r="B11">
        <f>COUNTIF(Sheet3!B:B,"&lt;=5")-COUNTIF(Sheet3!B:B,"&lt;=4.5")</f>
        <v>0</v>
      </c>
      <c r="C11">
        <f>COUNTIF(Sheet3!C:C,"&lt;=5")-COUNTIF(Sheet3!C:C,"&lt;=4.5")</f>
        <v>1</v>
      </c>
      <c r="D11">
        <f>COUNTIF(Sheet3!D:D,"&lt;=5")-COUNTIF(Sheet3!D:D,"&lt;=4.5")</f>
        <v>0</v>
      </c>
      <c r="E11">
        <f>COUNTIF(Sheet3!E:E,"&lt;=5")-COUNTIF(Sheet3!E:E,"&lt;=4.5")</f>
        <v>1</v>
      </c>
      <c r="F11">
        <f>COUNTIF(Sheet3!F:F,"&lt;=5")-COUNTIF(Sheet3!F:F,"&lt;=4.5")</f>
        <v>0</v>
      </c>
    </row>
  </sheetData>
  <phoneticPr fontId="18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2"/>
  <sheetViews>
    <sheetView workbookViewId="0">
      <selection activeCell="B1" sqref="B1:E2"/>
    </sheetView>
  </sheetViews>
  <sheetFormatPr baseColWidth="10" defaultRowHeight="16"/>
  <sheetData>
    <row r="1" spans="2:6">
      <c r="B1" t="s">
        <v>63</v>
      </c>
      <c r="C1" t="s">
        <v>3</v>
      </c>
      <c r="D1" t="s">
        <v>4</v>
      </c>
      <c r="E1" t="s">
        <v>5</v>
      </c>
      <c r="F1" t="s">
        <v>64</v>
      </c>
    </row>
    <row r="2" spans="2:6">
      <c r="B2">
        <v>33</v>
      </c>
      <c r="C2">
        <v>1</v>
      </c>
      <c r="D2">
        <v>13</v>
      </c>
      <c r="E2">
        <v>7</v>
      </c>
      <c r="F2">
        <v>52</v>
      </c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MSE_sum_compare</vt:lpstr>
      <vt:lpstr>Sheet3</vt:lpstr>
      <vt:lpstr>Sheet4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2019-12-04T16:16:10Z</dcterms:created>
  <dcterms:modified xsi:type="dcterms:W3CDTF">2019-12-05T04:29:16Z</dcterms:modified>
</cp:coreProperties>
</file>